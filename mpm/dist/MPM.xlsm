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932" codeName="{372AB895-14C1-FC20-EB20-F1B4BCFD95AE}"/>
  <workbookPr codeName="DieseArbeitsmappe" defaultThemeVersion="124226"/>
  <mc:AlternateContent xmlns:mc="http://schemas.openxmlformats.org/markup-compatibility/2006">
    <mc:Choice Requires="x15">
      <x15ac:absPath xmlns:x15ac="http://schemas.microsoft.com/office/spreadsheetml/2010/11/ac" url="\\wsl.localhost\Ubuntu\home\stu\projects\contao-merconis\htdocs\vendor\leadingsystems\contao-merconis\mpm\dist\"/>
    </mc:Choice>
  </mc:AlternateContent>
  <xr:revisionPtr revIDLastSave="0" documentId="13_ncr:1_{ADCC0360-E3DD-4C06-88B4-DDAF747ABE26}" xr6:coauthVersionLast="47" xr6:coauthVersionMax="47" xr10:uidLastSave="{00000000-0000-0000-0000-000000000000}"/>
  <bookViews>
    <workbookView xWindow="-120" yWindow="-120" windowWidth="57840" windowHeight="31920" tabRatio="436" xr2:uid="{00000000-000D-0000-FFFF-FFFF00000000}"/>
  </bookViews>
  <sheets>
    <sheet name="Produktverwaltung" sheetId="1" r:id="rId1"/>
    <sheet name="Konfiguration" sheetId="6" r:id="rId2"/>
    <sheet name="Basisparameter" sheetId="4" r:id="rId3"/>
    <sheet name="Löschprotokoll" sheetId="3" r:id="rId4"/>
  </sheets>
  <functionGroups builtInGroupCount="19"/>
  <definedNames>
    <definedName name="aktionswaehler">Produktverwaltung!$D$6</definedName>
    <definedName name="ausprägung">#REF!</definedName>
    <definedName name="basisparameterAktionen01">Basisparameter!$R$12:$R$1000</definedName>
    <definedName name="basisparameterAlterPreisPreisart">Basisparameter!$F$12:$F$1000</definedName>
    <definedName name="basisparameterAlterPreisVerwenden">Basisparameter!$G$12:$G$1000</definedName>
    <definedName name="basisparameterGewichtsangabe">Basisparameter!$H$12:$H$1000</definedName>
    <definedName name="basisparameterImportsperre">Basisparameter!$A$12:$A$1000</definedName>
    <definedName name="basisparameterLöschen">Basisparameter!$B$12:$B$1000</definedName>
    <definedName name="basisparameterNeuheit">Basisparameter!$I$12:$I$1000</definedName>
    <definedName name="basisparameterPreisart">Basisparameter!$E$12:$E$1000</definedName>
    <definedName name="basisparameterSonderpreis">Basisparameter!$J$12:$J$1000</definedName>
    <definedName name="basisparameterSprachen">Basisparameter!$Q$12:$Q$1000</definedName>
    <definedName name="basisparameterStaffelpreisAnwenden">Basisparameter!$L$12:$L$1011</definedName>
    <definedName name="basisparameterStaffelpreisArt">Basisparameter!$M$12:$M$1000</definedName>
    <definedName name="basisparameterStaffelpreisMengenermittlungKonfigurationenTrennen">Basisparameter!$O$12:$O$1000</definedName>
    <definedName name="basisparameterStaffelpreisMengenermittlungMethode">Basisparameter!$N$12:$N$1000</definedName>
    <definedName name="basisparameterTabellenblattnamen">Basisparameter!$P$12:$P$1000</definedName>
    <definedName name="basisparameterTyp">Basisparameter!$D$12:$D$1000</definedName>
    <definedName name="basisparameterVeröffentlichen">Basisparameter!$C$12:$C$1000</definedName>
    <definedName name="Checkbox_FeldauswahlVerwenden_Kategorie">"Kontrollkästchen 172"</definedName>
    <definedName name="ConfigurationFontStyleSizeRange">#REF!</definedName>
    <definedName name="Dropdown_Sprachwaehler004">Löschprotokoll!#REF!</definedName>
    <definedName name="Dropdown_Sprachwaehler04">Löschprotokoll!#REF!</definedName>
    <definedName name="epmVersion">Produktverwaltung!$C$9</definedName>
    <definedName name="flexContentAusblenden">Produktverwaltung!$Q$6</definedName>
    <definedName name="formelLokalTemporaerUmwandeln">Produktverwaltung!$K$6</definedName>
    <definedName name="FormelLokalTemporärUmwandeln">Produktverwaltung!$M$6</definedName>
    <definedName name="formelÜbergeordneteArtikelnummer">Produktverwaltung!$H$9</definedName>
    <definedName name="formelUebergeordneteArtikelnummer">Produktverwaltung!$I$6</definedName>
    <definedName name="formularParentProductCode">Produktverwaltung!$H$9</definedName>
    <definedName name="gewaehlteSprache">Produktverwaltung!$B$6</definedName>
    <definedName name="Größe_im_Produktmanager">#REF!</definedName>
    <definedName name="gruppenpreiseAusblenden">Produktverwaltung!$O$6</definedName>
    <definedName name="kategorie">#REF!</definedName>
    <definedName name="kategorienAuswaehlen">Produktverwaltung!$N$6</definedName>
    <definedName name="konfigurationAusprägung">Konfiguration!$C$12:$C$908</definedName>
    <definedName name="konfigurationKategorie">Konfiguration!$D$12:$D$892</definedName>
    <definedName name="konfigurationKonfigurator">Konfiguration!$J$12:$J$892</definedName>
    <definedName name="konfigurationLagerUndLieferzeit">Konfiguration!$I$12:$I$892</definedName>
    <definedName name="konfigurationMengeneinheit">Konfiguration!$G$12:$G$892</definedName>
    <definedName name="konfigurationMengenvergleichspreis">Konfiguration!$H$12:$H$892</definedName>
    <definedName name="konfigurationMerkmal">Konfiguration!$B$12:$B$908</definedName>
    <definedName name="konfigurationMitgliedergruppen">Konfiguration!$E$12:$E$19</definedName>
    <definedName name="konfigurationSprache">Konfiguration!$A$12:$A$19</definedName>
    <definedName name="konfigurationSteuersatz">Konfiguration!$F$12:$F$892</definedName>
    <definedName name="konfigurationTemplate">Konfiguration!$K$12:$K$892</definedName>
    <definedName name="kopfbereichAusblenden">Produktverwaltung!$F$6</definedName>
    <definedName name="letzteAktiveZelle">Produktverwaltung!$A$6</definedName>
    <definedName name="merkmal">#REF!</definedName>
    <definedName name="merkmaleAuspraegungenAusblenden">Produktverwaltung!$G$6</definedName>
    <definedName name="modusUebergeordneteArtikelnummerEmitteln">Produktverwaltung!$J$6</definedName>
    <definedName name="produktkategorien">#REF!</definedName>
    <definedName name="seitenwaehler">Produktverwaltung!$C$6</definedName>
    <definedName name="sprache">#REF!</definedName>
    <definedName name="staffelpreiseAusblenden">Produktverwaltung!$H$6</definedName>
    <definedName name="steuersatz">#REF!</definedName>
    <definedName name="variantenAlleAusblenden">Produktverwaltung!$P$6</definedName>
    <definedName name="zentralwertMakrohinweis">Produktverwaltung!$J$2</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LB11" i="1" l="1"/>
  <c r="DW7" i="1"/>
  <c r="BK7" i="1"/>
  <c r="IK7" i="1"/>
  <c r="LN7" i="1"/>
  <c r="F62" i="1"/>
  <c r="F149" i="3"/>
  <c r="ML7" i="1"/>
  <c r="M11" i="1"/>
  <c r="EN11" i="1"/>
  <c r="A3" i="3"/>
  <c r="CQ11" i="1"/>
  <c r="B11" i="6"/>
  <c r="F172" i="3"/>
  <c r="F30" i="1"/>
  <c r="DD7" i="1"/>
  <c r="N11" i="1"/>
  <c r="AR11" i="1"/>
  <c r="JJ11" i="1"/>
  <c r="HN74" i="1"/>
  <c r="BC7" i="1"/>
  <c r="BL127" i="3"/>
  <c r="O16" i="6"/>
  <c r="EY7" i="1"/>
  <c r="F243" i="3"/>
  <c r="A11" i="1"/>
  <c r="F251" i="3"/>
  <c r="CW11" i="1"/>
  <c r="GB11" i="1"/>
  <c r="F140" i="3"/>
  <c r="KE7" i="1"/>
  <c r="HX40" i="1"/>
  <c r="DE11" i="1"/>
  <c r="F21" i="3"/>
  <c r="GI7" i="1"/>
  <c r="N7" i="1"/>
  <c r="LZ11" i="1"/>
  <c r="F187" i="3"/>
  <c r="AK11" i="1"/>
  <c r="DL7" i="1"/>
  <c r="F33" i="3"/>
  <c r="HN34" i="1"/>
  <c r="Z7" i="1"/>
  <c r="FD7" i="1"/>
  <c r="R11" i="6"/>
  <c r="KX11" i="1"/>
  <c r="GA7" i="1"/>
  <c r="DI11" i="1"/>
  <c r="F193" i="3"/>
  <c r="KB7" i="1"/>
  <c r="MI11" i="1"/>
  <c r="O19" i="6"/>
  <c r="AI7" i="1"/>
  <c r="FJ7" i="1"/>
  <c r="F188" i="3"/>
  <c r="F79" i="1"/>
  <c r="IX11" i="1"/>
  <c r="GV11" i="1"/>
  <c r="ME7" i="1"/>
  <c r="F64" i="3"/>
  <c r="F82" i="1"/>
  <c r="C11" i="1"/>
  <c r="F13" i="1"/>
  <c r="AZ11" i="1"/>
  <c r="F57" i="3"/>
  <c r="IY7" i="1"/>
  <c r="F141" i="3"/>
  <c r="F179" i="3"/>
  <c r="F139" i="3"/>
  <c r="E11" i="6"/>
  <c r="HN116" i="1"/>
  <c r="LA11" i="1"/>
  <c r="HG11" i="1"/>
  <c r="F107" i="3"/>
  <c r="F17" i="1"/>
  <c r="F229" i="3"/>
  <c r="IO7" i="1"/>
  <c r="F65" i="3"/>
  <c r="GH11" i="1"/>
  <c r="Y11" i="6"/>
  <c r="KU72" i="1"/>
  <c r="HX52" i="1"/>
  <c r="HN68" i="1"/>
  <c r="HN42" i="1"/>
  <c r="FN11" i="1"/>
  <c r="F155" i="3"/>
  <c r="F114" i="3"/>
  <c r="AC11" i="6"/>
  <c r="FX11" i="1"/>
  <c r="M7" i="1"/>
  <c r="BL133" i="3"/>
  <c r="JY11" i="1"/>
  <c r="AU7" i="1"/>
  <c r="GS11" i="1"/>
  <c r="HX38" i="1"/>
  <c r="F117" i="1"/>
  <c r="EM7" i="1"/>
  <c r="D11" i="6"/>
  <c r="BO11" i="1"/>
  <c r="F191" i="3"/>
  <c r="DV11" i="1"/>
  <c r="KX7" i="1"/>
  <c r="B11" i="1"/>
  <c r="F79" i="3"/>
  <c r="EF7" i="1"/>
  <c r="KU34" i="1"/>
  <c r="KU40" i="1"/>
  <c r="F198" i="3"/>
  <c r="IL11" i="1"/>
  <c r="KZ7" i="1"/>
  <c r="CN11" i="1"/>
  <c r="BH63" i="3"/>
  <c r="F80" i="3"/>
  <c r="F73" i="1"/>
  <c r="F145" i="3"/>
  <c r="HN64" i="1"/>
  <c r="F101" i="3"/>
  <c r="F27" i="1"/>
  <c r="R29" i="4"/>
  <c r="F189" i="3"/>
  <c r="IS11" i="1"/>
  <c r="ED7" i="1"/>
  <c r="HN40" i="1"/>
  <c r="EC7" i="1"/>
  <c r="DZ7" i="1"/>
  <c r="F173" i="3"/>
  <c r="F119" i="3"/>
  <c r="F125" i="3"/>
  <c r="F150" i="3"/>
  <c r="HN92" i="1"/>
  <c r="HX70" i="1"/>
  <c r="FA7" i="1"/>
  <c r="F53" i="3"/>
  <c r="F106" i="1"/>
  <c r="FZ11" i="1"/>
  <c r="HD7" i="1"/>
  <c r="KM7" i="1"/>
  <c r="GR11" i="1"/>
  <c r="K7" i="1"/>
  <c r="F182" i="3"/>
  <c r="FV7" i="1"/>
  <c r="HD11" i="1"/>
  <c r="KU44" i="1"/>
  <c r="JF7" i="1"/>
  <c r="KY7" i="1"/>
  <c r="U11" i="1"/>
  <c r="EG7" i="1"/>
  <c r="KT11" i="1"/>
  <c r="F77" i="3"/>
  <c r="KS7" i="1"/>
  <c r="AR7" i="1"/>
  <c r="AB11" i="1"/>
  <c r="F123" i="3"/>
  <c r="HX44" i="1"/>
  <c r="BH236" i="3"/>
  <c r="F78" i="1"/>
  <c r="F110" i="1"/>
  <c r="HN86" i="1"/>
  <c r="IW7" i="1"/>
  <c r="HX58" i="1"/>
  <c r="KU46" i="1"/>
  <c r="LX11" i="1"/>
  <c r="S11" i="1"/>
  <c r="IB7" i="1"/>
  <c r="LY11" i="1"/>
  <c r="F103" i="1"/>
  <c r="G11" i="1"/>
  <c r="BD11" i="1"/>
  <c r="FG11" i="1"/>
  <c r="HN106" i="1"/>
  <c r="CV7" i="1"/>
  <c r="HX98" i="1"/>
  <c r="GK11" i="1"/>
  <c r="BK139" i="3"/>
  <c r="LT7" i="1"/>
  <c r="MH7" i="1"/>
  <c r="BH245" i="3"/>
  <c r="JO11" i="1"/>
  <c r="HN18" i="1"/>
  <c r="CZ11" i="1"/>
  <c r="KN11" i="1"/>
  <c r="KJ11" i="1"/>
  <c r="AZ7" i="1"/>
  <c r="LK11" i="1"/>
  <c r="BW7" i="1"/>
  <c r="N12" i="4"/>
  <c r="LE11" i="1"/>
  <c r="HN70" i="1"/>
  <c r="JC7" i="1"/>
  <c r="F39" i="1"/>
  <c r="AF11" i="1"/>
  <c r="F244" i="3"/>
  <c r="F44" i="1"/>
  <c r="GB7" i="1"/>
  <c r="DV7" i="1"/>
  <c r="F92" i="3"/>
  <c r="KZ11" i="1"/>
  <c r="MA7" i="1"/>
  <c r="F176" i="3"/>
  <c r="E14" i="4"/>
  <c r="HX66" i="1"/>
  <c r="IZ11" i="1"/>
  <c r="FE11" i="1"/>
  <c r="DH7" i="1"/>
  <c r="GO7" i="1"/>
  <c r="P11" i="6"/>
  <c r="KF11" i="1"/>
  <c r="F68" i="1"/>
  <c r="BH56" i="3"/>
  <c r="LF7" i="1"/>
  <c r="IB11" i="1"/>
  <c r="F64" i="1"/>
  <c r="BL125" i="3"/>
  <c r="DX7" i="1"/>
  <c r="HJ7" i="1"/>
  <c r="F212" i="3"/>
  <c r="F86" i="1"/>
  <c r="F72" i="3"/>
  <c r="DQ7" i="1"/>
  <c r="KC11" i="1"/>
  <c r="X11" i="1"/>
  <c r="IF11" i="1"/>
  <c r="CH7" i="1"/>
  <c r="GV7" i="1"/>
  <c r="F89" i="1"/>
  <c r="R12" i="4"/>
  <c r="KU7" i="1"/>
  <c r="F77" i="1"/>
  <c r="EM11" i="1"/>
  <c r="GC7" i="1"/>
  <c r="F11" i="6"/>
  <c r="GG7" i="1"/>
  <c r="HN66" i="1"/>
  <c r="FI7" i="1"/>
  <c r="ED11" i="1"/>
  <c r="Z11" i="1"/>
  <c r="DU11" i="1"/>
  <c r="II7" i="1"/>
  <c r="F113" i="1"/>
  <c r="F143" i="3"/>
  <c r="LB7" i="1"/>
  <c r="IM7" i="1"/>
  <c r="HK7" i="1"/>
  <c r="R26" i="4"/>
  <c r="AK7" i="1"/>
  <c r="CB11" i="1"/>
  <c r="F11" i="1"/>
  <c r="CR7" i="1"/>
  <c r="CF7" i="1"/>
  <c r="F109" i="1"/>
  <c r="DF7" i="1"/>
  <c r="F61" i="1"/>
  <c r="F120" i="3"/>
  <c r="F146" i="3"/>
  <c r="F74" i="3"/>
  <c r="F175" i="3"/>
  <c r="GW7" i="1"/>
  <c r="BH13" i="3"/>
  <c r="DR11" i="1"/>
  <c r="F86" i="3"/>
  <c r="F31" i="1"/>
  <c r="GQ11" i="1"/>
  <c r="IP11" i="1"/>
  <c r="KV11" i="1"/>
  <c r="JK7" i="1"/>
  <c r="F37" i="1"/>
  <c r="IU11" i="1"/>
  <c r="BR7" i="1"/>
  <c r="V11" i="1"/>
  <c r="R27" i="4"/>
  <c r="HU11" i="1"/>
  <c r="F240" i="3"/>
  <c r="BK11" i="1"/>
  <c r="BH243" i="3"/>
  <c r="BA7" i="1"/>
  <c r="AH11" i="1"/>
  <c r="K11" i="6"/>
  <c r="K11" i="1"/>
  <c r="BE11" i="1"/>
  <c r="F136" i="3"/>
  <c r="LA7" i="1"/>
  <c r="FP11" i="1"/>
  <c r="JV7" i="1"/>
  <c r="BN7" i="1"/>
  <c r="H11" i="4"/>
  <c r="F34" i="1"/>
  <c r="G11" i="4"/>
  <c r="AP11" i="1"/>
  <c r="BF11" i="1"/>
  <c r="AE7" i="1"/>
  <c r="X7" i="1"/>
  <c r="HX7" i="1"/>
  <c r="D14" i="4"/>
  <c r="A3" i="6"/>
  <c r="F100" i="3"/>
  <c r="D11" i="4"/>
  <c r="EH11" i="1"/>
  <c r="BS7" i="1"/>
  <c r="HN104" i="1"/>
  <c r="IQ7" i="1"/>
  <c r="F111" i="3"/>
  <c r="EU7" i="1"/>
  <c r="FV11" i="1"/>
  <c r="GL7" i="1"/>
  <c r="JV11" i="1"/>
  <c r="EC11" i="1"/>
  <c r="I11" i="1"/>
  <c r="F102" i="3"/>
  <c r="EX11" i="1"/>
  <c r="F210" i="3"/>
  <c r="IF7" i="1"/>
  <c r="BH69" i="3"/>
  <c r="F72" i="1"/>
  <c r="LV11" i="1"/>
  <c r="O15" i="6"/>
  <c r="F245" i="3"/>
  <c r="M11" i="4"/>
  <c r="KU108" i="1"/>
  <c r="F208" i="3"/>
  <c r="MG11" i="1"/>
  <c r="DD11" i="1"/>
  <c r="HN114" i="1"/>
  <c r="FW11" i="1"/>
  <c r="HN7" i="1"/>
  <c r="F47" i="1"/>
  <c r="AA7" i="1"/>
  <c r="A4" i="6"/>
  <c r="JE11" i="1"/>
  <c r="BN11" i="1"/>
  <c r="EN7" i="1"/>
  <c r="F153" i="3"/>
  <c r="M14" i="4"/>
  <c r="F87" i="1"/>
  <c r="R16" i="4"/>
  <c r="KU98" i="1"/>
  <c r="EW7" i="1"/>
  <c r="F19" i="1"/>
  <c r="JT11" i="1"/>
  <c r="F13" i="4"/>
  <c r="F129" i="3"/>
  <c r="O17" i="6"/>
  <c r="D12" i="4"/>
  <c r="F130" i="3"/>
  <c r="DP11" i="1"/>
  <c r="DY11" i="1"/>
  <c r="Q7" i="1"/>
  <c r="F195" i="3"/>
  <c r="AO11" i="1"/>
  <c r="EW11" i="1"/>
  <c r="DA11" i="1"/>
  <c r="J11" i="4"/>
  <c r="HN62" i="1"/>
  <c r="C11" i="4"/>
  <c r="F200" i="3"/>
  <c r="GY7" i="1"/>
  <c r="KU70" i="1"/>
  <c r="DJ11" i="1"/>
  <c r="F48" i="1"/>
  <c r="BL7" i="1"/>
  <c r="B11" i="4"/>
  <c r="KA11" i="1"/>
  <c r="KT7" i="1"/>
  <c r="KH7" i="1"/>
  <c r="T7" i="1"/>
  <c r="FR11" i="1"/>
  <c r="EV7" i="1"/>
  <c r="LC7" i="1"/>
  <c r="F242" i="3"/>
  <c r="F152" i="3"/>
  <c r="HX84" i="1"/>
  <c r="W11" i="6"/>
  <c r="FS7" i="1"/>
  <c r="KU104" i="1"/>
  <c r="AT7" i="1"/>
  <c r="HN84" i="1"/>
  <c r="DZ11" i="1"/>
  <c r="KV7" i="1"/>
  <c r="CO11" i="1"/>
  <c r="JN7" i="1"/>
  <c r="KN7" i="1"/>
  <c r="AD11" i="6"/>
  <c r="JF11" i="1"/>
  <c r="BL139" i="3"/>
  <c r="HX60" i="1"/>
  <c r="F151" i="3"/>
  <c r="LC11" i="1"/>
  <c r="EA11" i="1"/>
  <c r="HX62" i="1"/>
  <c r="F154" i="3"/>
  <c r="F99" i="3"/>
  <c r="F81" i="1"/>
  <c r="AG11" i="1"/>
  <c r="DM7" i="1"/>
  <c r="KU20" i="1"/>
  <c r="LX7" i="1"/>
  <c r="HQ11" i="1"/>
  <c r="DO7" i="1"/>
  <c r="LD7" i="1"/>
  <c r="KU24" i="1"/>
  <c r="F62" i="3"/>
  <c r="JS7" i="1"/>
  <c r="KU60" i="1"/>
  <c r="LT11" i="1"/>
  <c r="F246" i="3"/>
  <c r="HS7" i="1"/>
  <c r="HN102" i="1"/>
  <c r="KU64" i="1"/>
  <c r="R30" i="4"/>
  <c r="FC7" i="1"/>
  <c r="AS7" i="1"/>
  <c r="HX46" i="1"/>
  <c r="HX11" i="1"/>
  <c r="JM7" i="1"/>
  <c r="BJ11" i="1"/>
  <c r="C7" i="1"/>
  <c r="F76" i="3"/>
  <c r="HR11" i="1"/>
  <c r="BU7" i="1"/>
  <c r="N13" i="4"/>
  <c r="BK135" i="3"/>
  <c r="H14" i="4"/>
  <c r="ML11" i="1"/>
  <c r="F215" i="3"/>
  <c r="BH241" i="3"/>
  <c r="HX64" i="1"/>
  <c r="KC7" i="1"/>
  <c r="FX7" i="1"/>
  <c r="DC11" i="1"/>
  <c r="GN11" i="1"/>
  <c r="P12" i="4"/>
  <c r="BH74" i="3"/>
  <c r="F51" i="3"/>
  <c r="F174" i="3"/>
  <c r="DE7" i="1"/>
  <c r="J7" i="1"/>
  <c r="EF11" i="1"/>
  <c r="F241" i="3"/>
  <c r="F250" i="3"/>
  <c r="KI7" i="1"/>
  <c r="BH52" i="3"/>
  <c r="FE7" i="1"/>
  <c r="F28" i="1"/>
  <c r="FY7" i="1"/>
  <c r="F247" i="3"/>
  <c r="F156" i="3"/>
  <c r="BL131" i="3"/>
  <c r="BH70" i="3"/>
  <c r="JA7" i="1"/>
  <c r="HN58" i="1"/>
  <c r="F83" i="3"/>
  <c r="F104" i="3"/>
  <c r="F164" i="3"/>
  <c r="BT11" i="1"/>
  <c r="F67" i="1"/>
  <c r="KU110" i="1"/>
  <c r="GP7" i="1"/>
  <c r="KU58" i="1"/>
  <c r="MI7" i="1"/>
  <c r="KU38" i="1"/>
  <c r="F50" i="1"/>
  <c r="BS11" i="1"/>
  <c r="F199" i="3"/>
  <c r="F43" i="1"/>
  <c r="LO7" i="1"/>
  <c r="KU11" i="1"/>
  <c r="FQ11" i="1"/>
  <c r="BH246" i="3"/>
  <c r="LP7" i="1"/>
  <c r="F157" i="3"/>
  <c r="AQ11" i="1"/>
  <c r="AC11" i="1"/>
  <c r="F36" i="1"/>
  <c r="EQ7" i="1"/>
  <c r="EZ11" i="1"/>
  <c r="F45" i="3"/>
  <c r="BK125" i="3"/>
  <c r="HX92" i="1"/>
  <c r="F25" i="3"/>
  <c r="HY11" i="1"/>
  <c r="GX11" i="1"/>
  <c r="F66" i="1"/>
  <c r="HX68" i="1"/>
  <c r="F116" i="1"/>
  <c r="F59" i="3"/>
  <c r="BH66" i="3"/>
  <c r="P14" i="4"/>
  <c r="ES7" i="1"/>
  <c r="JX7" i="1"/>
  <c r="HN50" i="1"/>
  <c r="LY7" i="1"/>
  <c r="HF11" i="1"/>
  <c r="F25" i="1"/>
  <c r="GF11" i="1"/>
  <c r="J11" i="6"/>
  <c r="CG7" i="1"/>
  <c r="IC7" i="1"/>
  <c r="LP11" i="1"/>
  <c r="BT7" i="1"/>
  <c r="JY7" i="1"/>
  <c r="KO7" i="1"/>
  <c r="KU84" i="1"/>
  <c r="F42" i="1"/>
  <c r="F14" i="1"/>
  <c r="HX102" i="1"/>
  <c r="IM11" i="1"/>
  <c r="F11" i="4"/>
  <c r="AJ11" i="1"/>
  <c r="F209" i="3"/>
  <c r="LK7" i="1"/>
  <c r="F216" i="3"/>
  <c r="F126" i="3"/>
  <c r="KU88" i="1"/>
  <c r="AX7" i="1"/>
  <c r="BG11" i="1"/>
  <c r="F18" i="1"/>
  <c r="BD7" i="1"/>
  <c r="GP11" i="1"/>
  <c r="JH7" i="1"/>
  <c r="F190" i="3"/>
  <c r="O14" i="6"/>
  <c r="BG7" i="1"/>
  <c r="FC11" i="1"/>
  <c r="CX7" i="1"/>
  <c r="HX90" i="1"/>
  <c r="BL129" i="3"/>
  <c r="BH53" i="3"/>
  <c r="KU42" i="1"/>
  <c r="BP11" i="1"/>
  <c r="LL11" i="1"/>
  <c r="FS11" i="1"/>
  <c r="AN7" i="1"/>
  <c r="P13" i="4"/>
  <c r="F135" i="3"/>
  <c r="GK7" i="1"/>
  <c r="O11" i="1"/>
  <c r="LI7" i="1"/>
  <c r="BK129" i="3"/>
  <c r="F74" i="1"/>
  <c r="DO11" i="1"/>
  <c r="KU22" i="1"/>
  <c r="FA11" i="1"/>
  <c r="F81" i="3"/>
  <c r="BU11" i="1"/>
  <c r="ET11" i="1"/>
  <c r="BM11" i="1"/>
  <c r="D4" i="1"/>
  <c r="AX11" i="1"/>
  <c r="H13" i="4"/>
  <c r="EP7" i="1"/>
  <c r="JD7" i="1"/>
  <c r="H12" i="4"/>
  <c r="HT11" i="1"/>
  <c r="IA7" i="1"/>
  <c r="BH68" i="3"/>
  <c r="A4" i="1"/>
  <c r="JX11" i="1"/>
  <c r="EU11" i="1"/>
  <c r="F32" i="1"/>
  <c r="JI11" i="1"/>
  <c r="F110" i="3"/>
  <c r="F207" i="3"/>
  <c r="HN60" i="1"/>
  <c r="IK11" i="1"/>
  <c r="IA11" i="1"/>
  <c r="DT11" i="1"/>
  <c r="R23" i="4"/>
  <c r="F128" i="3"/>
  <c r="KI11" i="1"/>
  <c r="LW7" i="1"/>
  <c r="GU7" i="1"/>
  <c r="F88" i="1"/>
  <c r="DS11" i="1"/>
  <c r="IV7" i="1"/>
  <c r="IG11" i="1"/>
  <c r="CP7" i="1"/>
  <c r="LL7" i="1"/>
  <c r="F147" i="3"/>
  <c r="DK11" i="1"/>
  <c r="CA7" i="1"/>
  <c r="KO11" i="1"/>
  <c r="F75" i="1"/>
  <c r="F26" i="1"/>
  <c r="F94" i="1"/>
  <c r="F33" i="1"/>
  <c r="AY7" i="1"/>
  <c r="F171" i="3"/>
  <c r="BK133" i="3"/>
  <c r="HP11" i="1"/>
  <c r="F168" i="3"/>
  <c r="CS11" i="1"/>
  <c r="G11" i="6"/>
  <c r="ID11" i="1"/>
  <c r="GL11" i="1"/>
  <c r="LD11" i="1"/>
  <c r="F29" i="1"/>
  <c r="KU96" i="1"/>
  <c r="HH11" i="1"/>
  <c r="F69" i="1"/>
  <c r="HX96" i="1"/>
  <c r="F49" i="1"/>
  <c r="R25" i="4"/>
  <c r="F89" i="3"/>
  <c r="A3" i="1"/>
  <c r="F220" i="3"/>
  <c r="R7" i="1"/>
  <c r="R20" i="4"/>
  <c r="BI11" i="1"/>
  <c r="F69" i="3"/>
  <c r="EY11" i="1"/>
  <c r="F206" i="3"/>
  <c r="DQ11" i="1"/>
  <c r="F88" i="3"/>
  <c r="CW7" i="1"/>
  <c r="BH49" i="3"/>
  <c r="O12" i="6"/>
  <c r="DC7" i="1"/>
  <c r="AW7" i="1"/>
  <c r="KU52" i="1"/>
  <c r="HN108" i="1"/>
  <c r="CJ11" i="1"/>
  <c r="A11" i="4"/>
  <c r="IE7" i="1"/>
  <c r="O13" i="6"/>
  <c r="LG7" i="1"/>
  <c r="EA7" i="1"/>
  <c r="BA11" i="1"/>
  <c r="FU7" i="1"/>
  <c r="AD7" i="1"/>
  <c r="HU7" i="1"/>
  <c r="F94" i="3"/>
  <c r="EO7" i="1"/>
  <c r="R13" i="4"/>
  <c r="F185" i="3"/>
  <c r="AU11" i="1"/>
  <c r="HN44" i="1"/>
  <c r="HN24" i="1"/>
  <c r="BX11" i="1"/>
  <c r="F122" i="3"/>
  <c r="F237" i="3"/>
  <c r="JE7" i="1"/>
  <c r="HA7" i="1"/>
  <c r="F108" i="1"/>
  <c r="EJ11" i="1"/>
  <c r="HX80" i="1"/>
  <c r="F118" i="3"/>
  <c r="EK7" i="1"/>
  <c r="F105" i="3"/>
  <c r="J11" i="1"/>
  <c r="F144" i="3"/>
  <c r="GS7" i="1"/>
  <c r="CH11" i="1"/>
  <c r="IQ11" i="1"/>
  <c r="CM7" i="1"/>
  <c r="IR11" i="1"/>
  <c r="BH72" i="3"/>
  <c r="HN94" i="1"/>
  <c r="F205" i="3"/>
  <c r="HN20" i="1"/>
  <c r="F90" i="3"/>
  <c r="BH249" i="3"/>
  <c r="BK127" i="3"/>
  <c r="IH11" i="1"/>
  <c r="LM11" i="1"/>
  <c r="BO7" i="1"/>
  <c r="K11" i="4"/>
  <c r="F194" i="3"/>
  <c r="DA7" i="1"/>
  <c r="BH250" i="3"/>
  <c r="KK11" i="1"/>
  <c r="F160" i="3"/>
  <c r="JJ7" i="1"/>
  <c r="F93" i="3"/>
  <c r="F101" i="1"/>
  <c r="MC11" i="1"/>
  <c r="CP11" i="1"/>
  <c r="HS11" i="1"/>
  <c r="CV11" i="1"/>
  <c r="F117" i="3"/>
  <c r="CO7" i="1"/>
  <c r="HN46" i="1"/>
  <c r="GJ11" i="1"/>
  <c r="F108" i="3"/>
  <c r="F121" i="3"/>
  <c r="FD11" i="1"/>
  <c r="F148" i="3"/>
  <c r="FJ11" i="1"/>
  <c r="AM11" i="1"/>
  <c r="BK143" i="3"/>
  <c r="F137" i="3"/>
  <c r="EX7" i="1"/>
  <c r="AH7" i="1"/>
  <c r="HN96" i="1"/>
  <c r="EL7" i="1"/>
  <c r="EB7" i="1"/>
  <c r="BW11" i="1"/>
  <c r="DW11" i="1"/>
  <c r="AS11" i="1"/>
  <c r="CB7" i="1"/>
  <c r="F197" i="3"/>
  <c r="F167" i="3"/>
  <c r="IW11" i="1"/>
  <c r="CQ7" i="1"/>
  <c r="AA11" i="6"/>
  <c r="F55" i="1"/>
  <c r="F56" i="3"/>
  <c r="KA7" i="1"/>
  <c r="F91" i="3"/>
  <c r="BH51" i="3"/>
  <c r="BH58" i="3"/>
  <c r="HX82" i="1"/>
  <c r="HT7" i="1"/>
  <c r="BH54" i="3"/>
  <c r="LJ11" i="1"/>
  <c r="FN7" i="1"/>
  <c r="G7" i="1"/>
  <c r="CT11" i="1"/>
  <c r="GD11" i="1"/>
  <c r="F24" i="1"/>
  <c r="F61" i="3"/>
  <c r="GF7" i="1"/>
  <c r="F170" i="3"/>
  <c r="AB7" i="1"/>
  <c r="F186" i="3"/>
  <c r="HX50" i="1"/>
  <c r="F50" i="3"/>
  <c r="F103" i="3"/>
  <c r="IU7" i="1"/>
  <c r="EK11" i="1"/>
  <c r="HX76" i="1"/>
  <c r="GD7" i="1"/>
  <c r="ER11" i="1"/>
  <c r="KE11" i="1"/>
  <c r="F16" i="1"/>
  <c r="GA11" i="1"/>
  <c r="DF11" i="1"/>
  <c r="F106" i="3"/>
  <c r="M12" i="4"/>
  <c r="MD11" i="1"/>
  <c r="HX100" i="1"/>
  <c r="FR7" i="1"/>
  <c r="HX112" i="1"/>
  <c r="F102" i="1"/>
  <c r="BH60" i="3"/>
  <c r="B7" i="1"/>
  <c r="CS7" i="1"/>
  <c r="MJ7" i="1"/>
  <c r="HN98" i="1"/>
  <c r="JW11" i="1"/>
  <c r="EV11" i="1"/>
  <c r="BH7" i="1"/>
  <c r="HY7" i="1"/>
  <c r="AF7" i="1"/>
  <c r="DG7" i="1"/>
  <c r="DJ7" i="1"/>
  <c r="A2" i="6"/>
  <c r="C11" i="6"/>
  <c r="F46" i="1"/>
  <c r="F91" i="1"/>
  <c r="CN7" i="1"/>
  <c r="Y7" i="1"/>
  <c r="F159" i="3"/>
  <c r="LO11" i="1"/>
  <c r="HN88" i="1"/>
  <c r="F211" i="3"/>
  <c r="I11" i="4"/>
  <c r="EH7" i="1"/>
  <c r="F45" i="1"/>
  <c r="KF7" i="1"/>
  <c r="KS11" i="1"/>
  <c r="AW11" i="1"/>
  <c r="F183" i="3"/>
  <c r="F162" i="3"/>
  <c r="HI7" i="1"/>
  <c r="HH7" i="1"/>
  <c r="ET7" i="1"/>
  <c r="LU7" i="1"/>
  <c r="F180" i="3"/>
  <c r="HI11" i="1"/>
  <c r="GQ7" i="1"/>
  <c r="LH7" i="1"/>
  <c r="CL11" i="1"/>
  <c r="BL137" i="3"/>
  <c r="IY11" i="1"/>
  <c r="JA11" i="1"/>
  <c r="D13" i="4"/>
  <c r="F70" i="3"/>
  <c r="MJ11" i="1"/>
  <c r="FO11" i="1"/>
  <c r="P11" i="4"/>
  <c r="AM7" i="1"/>
  <c r="R19" i="4"/>
  <c r="F133" i="3"/>
  <c r="I6" i="1" a="1"/>
  <c r="V7" i="1"/>
  <c r="BH57" i="3"/>
  <c r="F181" i="3"/>
  <c r="GE7" i="1"/>
  <c r="HN90" i="1"/>
  <c r="BX7" i="1"/>
  <c r="DG11" i="1"/>
  <c r="KU50" i="1"/>
  <c r="KK7" i="1"/>
  <c r="GH7" i="1"/>
  <c r="DX11" i="1"/>
  <c r="F15" i="1"/>
  <c r="DR7" i="1"/>
  <c r="KU80" i="1"/>
  <c r="LV7" i="1"/>
  <c r="AN11" i="1"/>
  <c r="U7" i="1"/>
  <c r="DP7" i="1"/>
  <c r="F203" i="3"/>
  <c r="F29" i="3"/>
  <c r="GG11" i="1"/>
  <c r="F52" i="3"/>
  <c r="BH50" i="3"/>
  <c r="JL7" i="1"/>
  <c r="KU94" i="1"/>
  <c r="KU62" i="1"/>
  <c r="CG11" i="1"/>
  <c r="HN54" i="1"/>
  <c r="CJ7" i="1"/>
  <c r="F114" i="1"/>
  <c r="JQ7" i="1"/>
  <c r="CK7" i="1"/>
  <c r="F63" i="3"/>
  <c r="KL7" i="1"/>
  <c r="HA11" i="1"/>
  <c r="HG7" i="1"/>
  <c r="F84" i="1"/>
  <c r="L11" i="4"/>
  <c r="F115" i="3"/>
  <c r="FF11" i="1"/>
  <c r="JQ11" i="1"/>
  <c r="JO7" i="1"/>
  <c r="F13" i="3"/>
  <c r="AC7" i="1"/>
  <c r="MD7" i="1"/>
  <c r="LF11" i="1"/>
  <c r="BJ7" i="1"/>
  <c r="F142" i="3"/>
  <c r="F71" i="1"/>
  <c r="BH61" i="3"/>
  <c r="KU114" i="1"/>
  <c r="F92" i="1"/>
  <c r="CY7" i="1"/>
  <c r="BH62" i="3"/>
  <c r="KP11" i="1"/>
  <c r="A3" i="4"/>
  <c r="F97" i="3"/>
  <c r="F213" i="3"/>
  <c r="HN100" i="1"/>
  <c r="F12" i="4"/>
  <c r="CE7" i="1"/>
  <c r="BH46" i="3"/>
  <c r="F80" i="1"/>
  <c r="KU102" i="1"/>
  <c r="IT7" i="1"/>
  <c r="BH244" i="3"/>
  <c r="KU92" i="1"/>
  <c r="BH59" i="3"/>
  <c r="IJ7" i="1"/>
  <c r="BQ11" i="1"/>
  <c r="KU66" i="1"/>
  <c r="AI11" i="6"/>
  <c r="AG7" i="1"/>
  <c r="LS7" i="1"/>
  <c r="BH47" i="3"/>
  <c r="LG11" i="1"/>
  <c r="LE7" i="1"/>
  <c r="BH239" i="3"/>
  <c r="F51" i="1"/>
  <c r="F163" i="3"/>
  <c r="F112" i="3"/>
  <c r="IV11" i="1"/>
  <c r="M11" i="6"/>
  <c r="FT7" i="1"/>
  <c r="JC11" i="1"/>
  <c r="O18" i="6"/>
  <c r="A7" i="1"/>
  <c r="AO7" i="1"/>
  <c r="U11" i="6"/>
  <c r="FM7" i="1"/>
  <c r="F161" i="3"/>
  <c r="F44" i="3"/>
  <c r="BH251" i="3"/>
  <c r="BH11" i="1"/>
  <c r="F96" i="3"/>
  <c r="R14" i="4"/>
  <c r="AE11" i="1"/>
  <c r="F65" i="1"/>
  <c r="GC11" i="1"/>
  <c r="IR7" i="1"/>
  <c r="BZ11" i="1"/>
  <c r="F166" i="3"/>
  <c r="JZ11" i="1"/>
  <c r="LR7" i="1"/>
  <c r="F59" i="1"/>
  <c r="F71" i="3"/>
  <c r="DN7" i="1"/>
  <c r="F99" i="1"/>
  <c r="F17" i="3"/>
  <c r="F219" i="3"/>
  <c r="D11" i="1"/>
  <c r="FB11" i="1"/>
  <c r="LM7" i="1"/>
  <c r="KU76" i="1"/>
  <c r="HX86" i="1"/>
  <c r="HB11" i="1"/>
  <c r="GZ7" i="1"/>
  <c r="R18" i="4"/>
  <c r="GM7" i="1"/>
  <c r="HN56" i="1"/>
  <c r="HX114" i="1"/>
  <c r="A2" i="1"/>
  <c r="H7" i="1"/>
  <c r="HQ7" i="1"/>
  <c r="F95" i="3"/>
  <c r="O11" i="4"/>
  <c r="GT11" i="1"/>
  <c r="GM11" i="1"/>
  <c r="EG11" i="1"/>
  <c r="F98" i="3"/>
  <c r="GN7" i="1"/>
  <c r="BH240" i="3"/>
  <c r="KU86" i="1"/>
  <c r="BH45" i="3"/>
  <c r="F127" i="3"/>
  <c r="F218" i="3"/>
  <c r="FH11" i="1"/>
  <c r="BB11" i="1"/>
  <c r="LI11" i="1"/>
  <c r="BY7" i="1"/>
  <c r="AL11" i="1"/>
  <c r="R24" i="4"/>
  <c r="F54" i="3"/>
  <c r="HX94" i="1"/>
  <c r="A4" i="3"/>
  <c r="JH11" i="1"/>
  <c r="GT7" i="1"/>
  <c r="F73" i="3"/>
  <c r="HX54" i="1"/>
  <c r="R22" i="4"/>
  <c r="F201" i="3"/>
  <c r="FK7" i="1"/>
  <c r="HX56" i="1"/>
  <c r="LU11" i="1"/>
  <c r="F41" i="1"/>
  <c r="F134" i="3"/>
  <c r="F90" i="1"/>
  <c r="N14" i="4"/>
  <c r="F23" i="1"/>
  <c r="IO11" i="1"/>
  <c r="FW7" i="1"/>
  <c r="F239" i="3"/>
  <c r="BQ7" i="1"/>
  <c r="BL141" i="3"/>
  <c r="T11" i="1"/>
  <c r="FP7" i="1"/>
  <c r="O7" i="1"/>
  <c r="JD11" i="1"/>
  <c r="F97" i="1"/>
  <c r="E11" i="4"/>
  <c r="GJ7" i="1"/>
  <c r="FK11" i="1"/>
  <c r="F178" i="3"/>
  <c r="LS11" i="1"/>
  <c r="FZ7" i="1"/>
  <c r="FT11" i="1"/>
  <c r="BK137" i="3"/>
  <c r="JU11" i="1"/>
  <c r="BH67" i="3"/>
  <c r="A2" i="3"/>
  <c r="P11" i="1"/>
  <c r="F115" i="1"/>
  <c r="F132" i="3"/>
  <c r="BH55" i="3"/>
  <c r="GU11" i="1"/>
  <c r="CD7" i="1"/>
  <c r="F107" i="1"/>
  <c r="EL11" i="1"/>
  <c r="HR12" i="1"/>
  <c r="AJ7" i="1"/>
  <c r="KY11" i="1"/>
  <c r="F76" i="1"/>
  <c r="H11" i="1"/>
  <c r="F105" i="1"/>
  <c r="JS11" i="1"/>
  <c r="HX42" i="1"/>
  <c r="CZ7" i="1"/>
  <c r="HX108" i="1"/>
  <c r="AD11" i="1"/>
  <c r="F104" i="1"/>
  <c r="P15" i="4"/>
  <c r="MA11" i="1"/>
  <c r="CC11" i="1"/>
  <c r="II11" i="1"/>
  <c r="HN48" i="1"/>
  <c r="EI7" i="1"/>
  <c r="F116" i="3"/>
  <c r="JR11" i="1"/>
  <c r="BK141" i="3"/>
  <c r="HM7" i="1"/>
  <c r="CM11" i="1"/>
  <c r="E12" i="4"/>
  <c r="F60" i="1"/>
  <c r="BC11" i="1"/>
  <c r="HN38" i="1"/>
  <c r="I11" i="6"/>
  <c r="CU11" i="1"/>
  <c r="AT11" i="1"/>
  <c r="BL11" i="1"/>
  <c r="GR7" i="1"/>
  <c r="DL11" i="1"/>
  <c r="F58" i="3"/>
  <c r="CL7" i="1"/>
  <c r="HB7" i="1"/>
  <c r="KU68" i="1"/>
  <c r="LJ7" i="1"/>
  <c r="CA11" i="1"/>
  <c r="Y11" i="1"/>
  <c r="FL7" i="1"/>
  <c r="MF11" i="1"/>
  <c r="KB11" i="1"/>
  <c r="MK7" i="1"/>
  <c r="R15" i="4"/>
  <c r="BP7" i="1"/>
  <c r="F84" i="3"/>
  <c r="KQ11" i="1"/>
  <c r="HN72" i="1"/>
  <c r="KQ7" i="1"/>
  <c r="BH247" i="3"/>
  <c r="DS7" i="1"/>
  <c r="Q11" i="1"/>
  <c r="F248" i="3"/>
  <c r="BH64" i="3"/>
  <c r="BH237" i="3"/>
  <c r="HN82" i="1"/>
  <c r="F138" i="3"/>
  <c r="KW7" i="1"/>
  <c r="FI11" i="1"/>
  <c r="HR7" i="1"/>
  <c r="W11" i="1"/>
  <c r="F202" i="3"/>
  <c r="F87" i="3"/>
  <c r="HN76" i="1"/>
  <c r="CE11" i="1"/>
  <c r="F57" i="1"/>
  <c r="FB7" i="1"/>
  <c r="F7" i="1"/>
  <c r="BH248" i="3"/>
  <c r="BI7" i="1"/>
  <c r="F35" i="1"/>
  <c r="DB11" i="1"/>
  <c r="CR11" i="1"/>
  <c r="H11" i="6"/>
  <c r="KU116" i="1"/>
  <c r="F196" i="3"/>
  <c r="HN32" i="1"/>
  <c r="KH11" i="1"/>
  <c r="JT7" i="1"/>
  <c r="IC11" i="1"/>
  <c r="F249" i="3"/>
  <c r="HQ12" i="1"/>
  <c r="F131" i="3"/>
  <c r="AL7" i="1"/>
  <c r="HX48" i="1"/>
  <c r="KU106" i="1"/>
  <c r="F68" i="3"/>
  <c r="BH48" i="3"/>
  <c r="IH7" i="1"/>
  <c r="F85" i="3"/>
  <c r="F184" i="3"/>
  <c r="F177" i="3"/>
  <c r="BH65" i="3"/>
  <c r="F70" i="1"/>
  <c r="DU7" i="1"/>
  <c r="EE7" i="1"/>
  <c r="W7" i="1"/>
  <c r="HX106" i="1"/>
  <c r="E13" i="4"/>
  <c r="F165" i="3"/>
  <c r="KU82" i="1"/>
  <c r="HN80" i="1"/>
  <c r="P7" i="1"/>
  <c r="A11" i="6"/>
  <c r="EQ11" i="1"/>
  <c r="BL143" i="3"/>
  <c r="IG7" i="1"/>
  <c r="HX110" i="1"/>
  <c r="LR11" i="1"/>
  <c r="CT7" i="1"/>
  <c r="N15" i="4"/>
  <c r="AY11" i="1"/>
  <c r="HM11" i="1"/>
  <c r="KU78" i="1"/>
  <c r="BF7" i="1"/>
  <c r="F109" i="3"/>
  <c r="S7" i="1"/>
  <c r="F58" i="1"/>
  <c r="FH7" i="1"/>
  <c r="F48" i="3"/>
  <c r="AI11" i="1"/>
  <c r="F60" i="3"/>
  <c r="F204" i="3"/>
  <c r="KU48" i="1"/>
  <c r="F49" i="3"/>
  <c r="CI7" i="1"/>
  <c r="GW11" i="1"/>
  <c r="KU90" i="1"/>
  <c r="F96" i="1"/>
  <c r="JG7" i="1"/>
  <c r="Q11" i="4"/>
  <c r="F37" i="3"/>
  <c r="JZ7" i="1"/>
  <c r="MC7" i="1"/>
  <c r="F112" i="1"/>
  <c r="D15" i="4"/>
  <c r="JK11" i="1"/>
  <c r="F85" i="1"/>
  <c r="A4" i="4"/>
  <c r="BK131" i="3"/>
  <c r="AP7" i="1"/>
  <c r="F22" i="1"/>
  <c r="R32" i="4"/>
  <c r="HN11" i="1"/>
  <c r="EO11" i="1"/>
  <c r="EB11" i="1"/>
  <c r="F54" i="1"/>
  <c r="F158" i="3"/>
  <c r="IE11" i="1"/>
  <c r="GE11" i="1"/>
  <c r="BH73" i="3"/>
  <c r="KU74" i="1"/>
  <c r="FF7" i="1"/>
  <c r="KP7" i="1"/>
  <c r="MF7" i="1"/>
  <c r="IS7" i="1"/>
  <c r="F40" i="1"/>
  <c r="HF7" i="1"/>
  <c r="O11" i="6"/>
  <c r="EI11" i="1"/>
  <c r="MK11" i="1"/>
  <c r="HN52" i="1"/>
  <c r="HX88" i="1"/>
  <c r="LH11" i="1"/>
  <c r="BH238" i="3"/>
  <c r="AQ7" i="1"/>
  <c r="FG7" i="1"/>
  <c r="F169" i="3"/>
  <c r="BE7" i="1"/>
  <c r="LN11" i="1"/>
  <c r="GY11" i="1"/>
  <c r="KL11" i="1"/>
  <c r="I7" i="1"/>
  <c r="HW7" i="1"/>
  <c r="CY11" i="1"/>
  <c r="AV7" i="1"/>
  <c r="F20" i="1"/>
  <c r="GI11" i="1"/>
  <c r="JR7" i="1"/>
  <c r="DM11" i="1"/>
  <c r="MG7" i="1"/>
  <c r="CU7" i="1"/>
  <c r="A2" i="4"/>
  <c r="IZ7" i="1"/>
  <c r="EP11" i="1"/>
  <c r="BL135" i="3"/>
  <c r="MH11" i="1"/>
  <c r="EE11" i="1"/>
  <c r="F95" i="1"/>
  <c r="BH242" i="3"/>
  <c r="JI7" i="1"/>
  <c r="JW7" i="1"/>
  <c r="F214" i="3"/>
  <c r="R11" i="4"/>
  <c r="N11" i="4"/>
  <c r="ES11" i="1"/>
  <c r="BB7" i="1"/>
  <c r="F78" i="3"/>
  <c r="F55" i="3"/>
  <c r="KU54" i="1"/>
  <c r="KU56" i="1"/>
  <c r="ME11" i="1"/>
  <c r="ID7" i="1"/>
  <c r="DN11" i="1"/>
  <c r="EZ7" i="1"/>
  <c r="KG7" i="1"/>
  <c r="KU18" i="1"/>
  <c r="CC7" i="1"/>
  <c r="JU7" i="1"/>
  <c r="ER7" i="1"/>
  <c r="HC7" i="1"/>
  <c r="F14" i="4"/>
  <c r="HW11" i="1"/>
  <c r="HX116" i="1"/>
  <c r="DB7" i="1"/>
  <c r="KG11" i="1"/>
  <c r="F83" i="1"/>
  <c r="F63" i="1"/>
  <c r="KJ7" i="1"/>
  <c r="F82" i="3"/>
  <c r="F46" i="3"/>
  <c r="FO7" i="1"/>
  <c r="DH11" i="1"/>
  <c r="F53" i="1"/>
  <c r="HN112" i="1"/>
  <c r="F21" i="1"/>
  <c r="FM11" i="1"/>
  <c r="CI11" i="1"/>
  <c r="HX74" i="1"/>
  <c r="BZ7" i="1"/>
  <c r="F93" i="1"/>
  <c r="AV11" i="1"/>
  <c r="DK7" i="1"/>
  <c r="F113" i="3"/>
  <c r="F111" i="1"/>
  <c r="KU32" i="1"/>
  <c r="HP7" i="1"/>
  <c r="JM11" i="1"/>
  <c r="HN22" i="1"/>
  <c r="KU112" i="1"/>
  <c r="BH71" i="3"/>
  <c r="CX11" i="1"/>
  <c r="BY11" i="1"/>
  <c r="IX7" i="1"/>
  <c r="KM11" i="1"/>
  <c r="FL11" i="1"/>
  <c r="CF11" i="1"/>
  <c r="M13" i="4"/>
  <c r="F66" i="3"/>
  <c r="F100" i="1"/>
  <c r="HN78" i="1"/>
  <c r="DY7" i="1"/>
  <c r="JL11" i="1"/>
  <c r="F67" i="3"/>
  <c r="F217" i="3"/>
  <c r="R17" i="4"/>
  <c r="BV11" i="1"/>
  <c r="GZ11" i="1"/>
  <c r="AA11" i="1"/>
  <c r="BM7" i="1"/>
  <c r="GX7" i="1"/>
  <c r="DI7" i="1"/>
  <c r="HN110" i="1"/>
  <c r="R11" i="1"/>
  <c r="GO11" i="1"/>
  <c r="CD11" i="1"/>
  <c r="F98" i="1"/>
  <c r="IT11" i="1"/>
  <c r="F38" i="1"/>
  <c r="F12" i="1"/>
  <c r="EJ7" i="1"/>
  <c r="FQ7" i="1"/>
  <c r="JN11" i="1"/>
  <c r="IL7" i="1"/>
  <c r="F238" i="3"/>
  <c r="BR11" i="1"/>
  <c r="AH11" i="6"/>
  <c r="IP7" i="1"/>
  <c r="F47" i="3"/>
  <c r="HX104" i="1"/>
  <c r="F236" i="3"/>
  <c r="HX72" i="1"/>
  <c r="HX78" i="1"/>
  <c r="HC11" i="1"/>
  <c r="F56" i="1"/>
  <c r="LZ7" i="1"/>
  <c r="F192" i="3"/>
  <c r="F52" i="1"/>
  <c r="D7" i="1"/>
  <c r="KW11" i="1"/>
  <c r="DT7" i="1"/>
  <c r="IJ11" i="1"/>
  <c r="BV7" i="1"/>
  <c r="LW11" i="1"/>
  <c r="FY11" i="1"/>
  <c r="AF11" i="6"/>
  <c r="JG11" i="1"/>
  <c r="CK11" i="1"/>
  <c r="KU100" i="1"/>
  <c r="F75" i="3"/>
  <c r="FU11" i="1"/>
  <c r="I6"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ip</author>
  </authors>
  <commentList>
    <comment ref="HH10" authorId="0" shapeId="0" xr:uid="{00000000-0006-0000-0000-000001000000}">
      <text>
        <r>
          <rPr>
            <b/>
            <sz val="16"/>
            <color indexed="81"/>
            <rFont val="Tahoma"/>
            <family val="2"/>
          </rPr>
          <t>Ihre Kategorien verwalten Sie auf der Seite (Lasche) "Konfiguration".</t>
        </r>
      </text>
    </comment>
  </commentList>
</comments>
</file>

<file path=xl/sharedStrings.xml><?xml version="1.0" encoding="utf-8"?>
<sst xmlns="http://schemas.openxmlformats.org/spreadsheetml/2006/main" count="3689" uniqueCount="937">
  <si>
    <t>ignore</t>
  </si>
  <si>
    <t>delete</t>
  </si>
  <si>
    <t>publish</t>
  </si>
  <si>
    <t>type</t>
  </si>
  <si>
    <t>productcode</t>
  </si>
  <si>
    <t>parentProductcode</t>
  </si>
  <si>
    <t>language</t>
  </si>
  <si>
    <t>name</t>
  </si>
  <si>
    <t>property1</t>
  </si>
  <si>
    <t>value1</t>
  </si>
  <si>
    <t>property2</t>
  </si>
  <si>
    <t>value2</t>
  </si>
  <si>
    <t>property3</t>
  </si>
  <si>
    <t>value3</t>
  </si>
  <si>
    <t>property4</t>
  </si>
  <si>
    <t>value4</t>
  </si>
  <si>
    <t>property5</t>
  </si>
  <si>
    <t>value5</t>
  </si>
  <si>
    <t>property6</t>
  </si>
  <si>
    <t>value6</t>
  </si>
  <si>
    <t>property7</t>
  </si>
  <si>
    <t>value7</t>
  </si>
  <si>
    <t>property8</t>
  </si>
  <si>
    <t>value8</t>
  </si>
  <si>
    <t>property9</t>
  </si>
  <si>
    <t>value9</t>
  </si>
  <si>
    <t>property10</t>
  </si>
  <si>
    <t>value10</t>
  </si>
  <si>
    <t>property11</t>
  </si>
  <si>
    <t>value11</t>
  </si>
  <si>
    <t>property12</t>
  </si>
  <si>
    <t>value12</t>
  </si>
  <si>
    <t>property13</t>
  </si>
  <si>
    <t>value13</t>
  </si>
  <si>
    <t>property14</t>
  </si>
  <si>
    <t>value14</t>
  </si>
  <si>
    <t>property15</t>
  </si>
  <si>
    <t>value15</t>
  </si>
  <si>
    <t>property16</t>
  </si>
  <si>
    <t>value16</t>
  </si>
  <si>
    <t>property17</t>
  </si>
  <si>
    <t>value17</t>
  </si>
  <si>
    <t>property18</t>
  </si>
  <si>
    <t>value18</t>
  </si>
  <si>
    <t>property19</t>
  </si>
  <si>
    <t>value19</t>
  </si>
  <si>
    <t>property20</t>
  </si>
  <si>
    <t>value20</t>
  </si>
  <si>
    <t>description</t>
  </si>
  <si>
    <t>shortDescription</t>
  </si>
  <si>
    <t>category</t>
  </si>
  <si>
    <t>producer</t>
  </si>
  <si>
    <t>price</t>
  </si>
  <si>
    <t>priceType</t>
  </si>
  <si>
    <t>oldPrice</t>
  </si>
  <si>
    <t>oldPriceType</t>
  </si>
  <si>
    <t>taxclass</t>
  </si>
  <si>
    <t>weight</t>
  </si>
  <si>
    <t>weightType</t>
  </si>
  <si>
    <t>unit</t>
  </si>
  <si>
    <t>quantityComparisonUnit</t>
  </si>
  <si>
    <t>quantityComparisonDivisor</t>
  </si>
  <si>
    <t>quantityDecimals</t>
  </si>
  <si>
    <t>new</t>
  </si>
  <si>
    <t>onSale</t>
  </si>
  <si>
    <t>keywords</t>
  </si>
  <si>
    <t>image</t>
  </si>
  <si>
    <t>moreImages</t>
  </si>
  <si>
    <t>changeStock</t>
  </si>
  <si>
    <t>settingsForStockAndDeliveryTime</t>
  </si>
  <si>
    <t>recommendedProducts</t>
  </si>
  <si>
    <t>template</t>
  </si>
  <si>
    <t>äöüßéèê</t>
  </si>
  <si>
    <t>property</t>
  </si>
  <si>
    <t>value</t>
  </si>
  <si>
    <t>Deutsch</t>
  </si>
  <si>
    <t>F</t>
  </si>
  <si>
    <t>Stk.</t>
  </si>
  <si>
    <t>contentTranformationFontSizeXLS</t>
  </si>
  <si>
    <t>contentTranformationFontSizeHTML</t>
  </si>
  <si>
    <t>contentTranformationFontSizeXLSStandard</t>
  </si>
  <si>
    <t>autoRowHeight</t>
  </si>
  <si>
    <t>variantCreatorSettings</t>
  </si>
  <si>
    <t>variantCreatorSettingsValues</t>
  </si>
  <si>
    <t>textTemplateText</t>
  </si>
  <si>
    <t>textTemplateName</t>
  </si>
  <si>
    <t>de</t>
  </si>
  <si>
    <t>contentTranformation</t>
  </si>
  <si>
    <t>contentTranformationOnOff</t>
  </si>
  <si>
    <t>sorting</t>
  </si>
  <si>
    <t>configurator</t>
  </si>
  <si>
    <t>useOldPrice</t>
  </si>
  <si>
    <t>nichts</t>
  </si>
  <si>
    <t>Damit das Layout nun nicht nackt im Raume steht und sich klein und leer vorkommt, springe ich ein: der Blindtext.</t>
  </si>
  <si>
    <t>en</t>
  </si>
  <si>
    <t>Far far away, behind the word mountains, far from the countries Vokalia and Consonantia, there live the blind texts.</t>
  </si>
  <si>
    <t>pcs.</t>
  </si>
  <si>
    <t>99</t>
  </si>
  <si>
    <t>Dies ist ein Typoblindtext. An ihm kann man sehen, ob alle Buchstaben da sind und wie sie aussehen. Manchmal benutzt man Worte wie Hamburgefonts, Rafgenduks oder Handgloves, um Schriften zu testen. Manchmal Sätze, die alle Buchstaben des Alphabets enthalten - man nennt diese Sätze »Pangrams«. Sehr bekannt ist dieser: The quick brown fox jumps over the lazy old dog.
Oft werden in Typoblindtexte auch fremdsprachige Satzteile eingebaut, um die Wirkung in anderen Sprachen zu testen. In Lateinisch sieht zum Beispiel fast jede Schrift gut aus. Quod erat demonstrandum.</t>
  </si>
  <si>
    <t>The European languages are members of the same family. Their separate existence is a myth. For science, music, sport, etc, Europe uses the same vocabulary. The languages only differ in their grammar, their pronunciation and their most common words.
Everyone realizes why a new common language would be desirable: one could refuse to pay expensive translators.</t>
  </si>
  <si>
    <t>50</t>
  </si>
  <si>
    <t>Beispiel/Example</t>
  </si>
  <si>
    <t>English</t>
  </si>
  <si>
    <t>flexContent3</t>
  </si>
  <si>
    <t>flexContent2</t>
  </si>
  <si>
    <t>flexContent1</t>
  </si>
  <si>
    <t>flexContent4</t>
  </si>
  <si>
    <t>flexContent5</t>
  </si>
  <si>
    <t>flexContent6</t>
  </si>
  <si>
    <t>flexContent7</t>
  </si>
  <si>
    <t>flexContent8</t>
  </si>
  <si>
    <t>flexContent9</t>
  </si>
  <si>
    <t>flexContent10</t>
  </si>
  <si>
    <t/>
  </si>
  <si>
    <t>days-3-5</t>
  </si>
  <si>
    <t>full</t>
  </si>
  <si>
    <t>exampleconfigurator</t>
  </si>
  <si>
    <t>semiautomode</t>
  </si>
  <si>
    <t>flexContent10LanguageIndependent</t>
  </si>
  <si>
    <t>flexContent9LanguageIndependent</t>
  </si>
  <si>
    <t>flexContent8LanguageIndependent</t>
  </si>
  <si>
    <t>flexContent7LanguageIndependent</t>
  </si>
  <si>
    <t>flexContent6LanguageIndependent</t>
  </si>
  <si>
    <t>flexContent5LanguageIndependent</t>
  </si>
  <si>
    <t>flexContent4LanguageIndependent</t>
  </si>
  <si>
    <t>flexContent3LanguageIndependent</t>
  </si>
  <si>
    <t>flexContent2LanguageIndependent</t>
  </si>
  <si>
    <t>flexContent1LanguageIndependent</t>
  </si>
  <si>
    <t>useScalePrice</t>
  </si>
  <si>
    <t>scalePriceType</t>
  </si>
  <si>
    <t>scalePriceQuantityDetectionMethod</t>
  </si>
  <si>
    <t>scalePriceQuantityDetectionAlwaysSeparateConfigurations</t>
  </si>
  <si>
    <t>scalePrice</t>
  </si>
  <si>
    <t>scalePriceKeyword</t>
  </si>
  <si>
    <t>variantenwertPreisTyp§§§§§§variantenwertPreis§§§§§§variantenwertAlterPreisTyp§§§§§§variantenwertAlterPreis§§§§§§variantenwertGewicht§§§§§§variantenwertGewichtTyp§§§§§§variantenwertLagerbestandsänderung§§§§§§variantenwertLieferzeit§§§§§§variantenwertHauptbild§§§="##epmMainCode##" &amp; "##epmSep##" &amp; "##epmSuffix##" &amp; ".jpg"§§§variantenwertWeitereBilder§§§§§§Image2§§§§§§Image3§§§§§§variantenwertArtikelnummerPräfixStart§§§§§§variantenwertArtikelnummerSuffixStart§§§1§§§variantenwertCheckboxHauptartikelnummerVerwenden§§§True§§§variantenwertArtikelnummerTrennzeichen§§§-§§§variantenwertTextfeldFremdsprachen§§§en§§§variantenwertCheckboxHauptartikelPreisVerwenden§§§True§§§variantenwertCheckboxHauptartikelAlterPreisVerwenden§§§True§§§variantenwertCheckboxHauptartikelGewichtVerwenden§§§True§§§variantenwertCheckboxHauptartikelLagerbestandLieferzeitVerwenden§§§True§§§variantenwertBeschreibung§§§§§§variantenwertKurzbeschreibung§§§§§§variantenwertCheckboxKurzbeschrIstFormel§§§True§§§variantenwertCheckboxBeschrIstFormel§§§True§§§variantenwertBezeichnung§§§="##epmMainName##"§§§variantenwertCheckboxBezeichnungIstFormel§§§True§§§variantenwertArtikelnummer§§§§§§variantenwertCheckboxArtikelnummerIstFormel§§§True§§§überschrift01Deutsch§§§True§§§überschrift02Deutsch§§§True§§§variantenwertCheckboxHauptbildIstFormel§§§True§§§variantenwertCheckboxWeitereBilderIstFormel§§§True§§§überschrift01English§§§True§§§überschrift02English§§§True§§§variantenwertStaffelpreisPreis§§§§§§variantenwertCheckboxStaffelpreisHauptartikelPreisVerwenden§§§False§§§variantenwertCheckboxStaffelpreisAnwenden§§§False§§§variantenwertCheckboxStaffelpreisKonfigsTrennen§§§False§§§Image4§§§False§§§Image5§§§False§§§Image6§§§False§§§Image7§§§False§§§Image8§§§False§§§variantenwertStaffelpreisTyp§§§§§§variantenwertStaffelpreisMengenermittlungTyp§§§§§§Image9§§§§§§Image10§§§§§§Image11§§§§§§Image12§§§§§§Image13§§§§§§variantenwertStaffelpreisSchlüsselwort§§§§§§Image14§§§§§§Image15§§§</t>
  </si>
  <si>
    <t>topseller</t>
  </si>
  <si>
    <t>alias</t>
  </si>
  <si>
    <t>Mitgliedergruppenpreis</t>
  </si>
  <si>
    <t>1.4</t>
  </si>
  <si>
    <t>T</t>
  </si>
  <si>
    <t>_tProdukte_</t>
  </si>
  <si>
    <t>_tMerkmaleUndAusprägungen_</t>
  </si>
  <si>
    <t>_tBeschreibung_</t>
  </si>
  <si>
    <t>_tStaffelpreis_</t>
  </si>
  <si>
    <t>_tAlterPreis_</t>
  </si>
  <si>
    <t>_tGruppenpreis1_</t>
  </si>
  <si>
    <t>_tGruppenpreis2_</t>
  </si>
  <si>
    <t>_tGruppenpreis3_</t>
  </si>
  <si>
    <t>_tGruppenpreis4_</t>
  </si>
  <si>
    <t>_tGruppenpreis5_</t>
  </si>
  <si>
    <t>_tFlexContent_</t>
  </si>
  <si>
    <t>_tSteuerklasse_</t>
  </si>
  <si>
    <t>_tFlexContentSprachunabhängig_</t>
  </si>
  <si>
    <t>price_1</t>
  </si>
  <si>
    <t>priceForGroups_1</t>
  </si>
  <si>
    <t>priceType_1</t>
  </si>
  <si>
    <t>useScalePrice_1</t>
  </si>
  <si>
    <t>scalePriceType_1</t>
  </si>
  <si>
    <t>scalePriceQuantityDetectionMethod_1</t>
  </si>
  <si>
    <t>scalePriceQuantityDetectionAlwaysSeparateConfigurations_1</t>
  </si>
  <si>
    <t>scalePriceKeyword_1</t>
  </si>
  <si>
    <t>scalePrice_1</t>
  </si>
  <si>
    <t>oldPrice_1</t>
  </si>
  <si>
    <t>oldPriceType_1</t>
  </si>
  <si>
    <t>useOldPrice_1</t>
  </si>
  <si>
    <t>priceForGroups_2</t>
  </si>
  <si>
    <t>priceForGroups_3</t>
  </si>
  <si>
    <t>priceForGroups_4</t>
  </si>
  <si>
    <t>priceForGroups_5</t>
  </si>
  <si>
    <t>price_5</t>
  </si>
  <si>
    <t>priceType_5</t>
  </si>
  <si>
    <t>useScalePrice_5</t>
  </si>
  <si>
    <t>scalePriceType_5</t>
  </si>
  <si>
    <t>scalePriceQuantityDetectionMethod_5</t>
  </si>
  <si>
    <t>scalePriceQuantityDetectionAlwaysSeparateConfigurations_5</t>
  </si>
  <si>
    <t>scalePriceKeyword_5</t>
  </si>
  <si>
    <t>scalePrice_5</t>
  </si>
  <si>
    <t>oldPrice_5</t>
  </si>
  <si>
    <t>oldPriceType_5</t>
  </si>
  <si>
    <t>useOldPrice_5</t>
  </si>
  <si>
    <t>price_4</t>
  </si>
  <si>
    <t>priceType_4</t>
  </si>
  <si>
    <t>useScalePrice_4</t>
  </si>
  <si>
    <t>scalePriceType_4</t>
  </si>
  <si>
    <t>scalePriceQuantityDetectionMethod_4</t>
  </si>
  <si>
    <t>scalePriceQuantityDetectionAlwaysSeparateConfigurations_4</t>
  </si>
  <si>
    <t>scalePriceKeyword_4</t>
  </si>
  <si>
    <t>scalePrice_4</t>
  </si>
  <si>
    <t>oldPrice_4</t>
  </si>
  <si>
    <t>oldPriceType_4</t>
  </si>
  <si>
    <t>useOldPrice_4</t>
  </si>
  <si>
    <t>price_3</t>
  </si>
  <si>
    <t>priceType_3</t>
  </si>
  <si>
    <t>useScalePrice_3</t>
  </si>
  <si>
    <t>scalePriceType_3</t>
  </si>
  <si>
    <t>scalePriceQuantityDetectionMethod_3</t>
  </si>
  <si>
    <t>scalePriceQuantityDetectionAlwaysSeparateConfigurations_3</t>
  </si>
  <si>
    <t>scalePriceKeyword_3</t>
  </si>
  <si>
    <t>scalePrice_3</t>
  </si>
  <si>
    <t>oldPrice_3</t>
  </si>
  <si>
    <t>oldPriceType_3</t>
  </si>
  <si>
    <t>useOldPrice_3</t>
  </si>
  <si>
    <t>price_2</t>
  </si>
  <si>
    <t>priceType_2</t>
  </si>
  <si>
    <t>useScalePrice_2</t>
  </si>
  <si>
    <t>scalePriceType_2</t>
  </si>
  <si>
    <t>scalePriceQuantityDetectionMethod_2</t>
  </si>
  <si>
    <t>scalePriceQuantityDetectionAlwaysSeparateConfigurations_2</t>
  </si>
  <si>
    <t>scalePriceKeyword_2</t>
  </si>
  <si>
    <t>scalePrice_2</t>
  </si>
  <si>
    <t>oldPrice_2</t>
  </si>
  <si>
    <t>oldPriceType_2</t>
  </si>
  <si>
    <t>useOldPrice_2</t>
  </si>
  <si>
    <t>useGroupPrices_1</t>
  </si>
  <si>
    <t>useGroupPrices_2</t>
  </si>
  <si>
    <t>useGroupPrices_3</t>
  </si>
  <si>
    <t>useGroupPrices_4</t>
  </si>
  <si>
    <t>useGroupPrices_5</t>
  </si>
  <si>
    <t>useGroupPrices</t>
  </si>
  <si>
    <t>_tPreis_</t>
  </si>
  <si>
    <t>b-020</t>
  </si>
  <si>
    <t>b-021</t>
  </si>
  <si>
    <t>b-022</t>
  </si>
  <si>
    <t>b-023</t>
  </si>
  <si>
    <t>b-024</t>
  </si>
  <si>
    <t>b-025</t>
  </si>
  <si>
    <t>b-026</t>
  </si>
  <si>
    <t>b-027</t>
  </si>
  <si>
    <t>b-028</t>
  </si>
  <si>
    <t>b-029</t>
  </si>
  <si>
    <t>b-030</t>
  </si>
  <si>
    <t>b-031</t>
  </si>
  <si>
    <t>b-032</t>
  </si>
  <si>
    <t>b-033</t>
  </si>
  <si>
    <t>b-034</t>
  </si>
  <si>
    <t>b-035</t>
  </si>
  <si>
    <t>b-036</t>
  </si>
  <si>
    <t>b-037</t>
  </si>
  <si>
    <t>b-038</t>
  </si>
  <si>
    <t>b-039</t>
  </si>
  <si>
    <t>b-040</t>
  </si>
  <si>
    <t>b-041</t>
  </si>
  <si>
    <t>b-042</t>
  </si>
  <si>
    <t>b-043</t>
  </si>
  <si>
    <t>b-044</t>
  </si>
  <si>
    <t>b-045</t>
  </si>
  <si>
    <t>b-046</t>
  </si>
  <si>
    <t>b-047</t>
  </si>
  <si>
    <t>b-048</t>
  </si>
  <si>
    <t>b-009</t>
  </si>
  <si>
    <t>b-012</t>
  </si>
  <si>
    <t>ds-001</t>
  </si>
  <si>
    <t>ds-002</t>
  </si>
  <si>
    <t>ds-003</t>
  </si>
  <si>
    <t>ds-004</t>
  </si>
  <si>
    <t>ds-005</t>
  </si>
  <si>
    <t>ds-006</t>
  </si>
  <si>
    <t>ds-007</t>
  </si>
  <si>
    <t>ds-008</t>
  </si>
  <si>
    <t>ds-009</t>
  </si>
  <si>
    <t>ds-010</t>
  </si>
  <si>
    <t>ds-011</t>
  </si>
  <si>
    <t>ds-012</t>
  </si>
  <si>
    <t>ds-013</t>
  </si>
  <si>
    <t>ds-014</t>
  </si>
  <si>
    <t>ds-015</t>
  </si>
  <si>
    <t>ds-016</t>
  </si>
  <si>
    <t>ds-017</t>
  </si>
  <si>
    <t>ds-018</t>
  </si>
  <si>
    <t>ds-019</t>
  </si>
  <si>
    <t>ds-020</t>
  </si>
  <si>
    <t>ds-021</t>
  </si>
  <si>
    <t>ds-022</t>
  </si>
  <si>
    <t>ds-023</t>
  </si>
  <si>
    <t>ds-024</t>
  </si>
  <si>
    <t>ds-025</t>
  </si>
  <si>
    <t>ds-026</t>
  </si>
  <si>
    <t>ds-027</t>
  </si>
  <si>
    <t>ds-028</t>
  </si>
  <si>
    <t>ds-029</t>
  </si>
  <si>
    <t>ds-030</t>
  </si>
  <si>
    <t>ds-031</t>
  </si>
  <si>
    <t>ds-032</t>
  </si>
  <si>
    <t>ds-033</t>
  </si>
  <si>
    <t>ds-034</t>
  </si>
  <si>
    <t>ds-035</t>
  </si>
  <si>
    <t>ds-036</t>
  </si>
  <si>
    <t>ds-037</t>
  </si>
  <si>
    <t>ds-038</t>
  </si>
  <si>
    <t>ds-039</t>
  </si>
  <si>
    <t>ds-040</t>
  </si>
  <si>
    <t>ds-041</t>
  </si>
  <si>
    <t>ds-042</t>
  </si>
  <si>
    <t>ds-043</t>
  </si>
  <si>
    <t>ds-044</t>
  </si>
  <si>
    <t>ds-045</t>
  </si>
  <si>
    <t>ds-046</t>
  </si>
  <si>
    <t>ds-047</t>
  </si>
  <si>
    <t>ds-048</t>
  </si>
  <si>
    <t>Demo Product 100</t>
  </si>
  <si>
    <t>Demo Product 101</t>
  </si>
  <si>
    <t>Demo Product 102</t>
  </si>
  <si>
    <t>Demo Product 103</t>
  </si>
  <si>
    <t>Demo Product 104</t>
  </si>
  <si>
    <t>Demo Product 105</t>
  </si>
  <si>
    <t>Demo Product 106</t>
  </si>
  <si>
    <t>Demo Product 107</t>
  </si>
  <si>
    <t>Demo Product 108</t>
  </si>
  <si>
    <t>Demo Product 109</t>
  </si>
  <si>
    <t>Demo Product 110</t>
  </si>
  <si>
    <t>Demo Product 111</t>
  </si>
  <si>
    <t>Demo Product 112</t>
  </si>
  <si>
    <t>Demo Product 113</t>
  </si>
  <si>
    <t>Demo Product 114</t>
  </si>
  <si>
    <t>Demo Product 115</t>
  </si>
  <si>
    <t>Demo Product 116</t>
  </si>
  <si>
    <t>Demo Product 117</t>
  </si>
  <si>
    <t>Demo Product 118</t>
  </si>
  <si>
    <t>Demo Product 119</t>
  </si>
  <si>
    <t>Demo Product 120</t>
  </si>
  <si>
    <t>Demo Product 121</t>
  </si>
  <si>
    <t>Demo Product 122</t>
  </si>
  <si>
    <t>Demo Product 123</t>
  </si>
  <si>
    <t>Demo Product 124</t>
  </si>
  <si>
    <t>Demo Product 125</t>
  </si>
  <si>
    <t>Demo Product 126</t>
  </si>
  <si>
    <t>Demo Product 127</t>
  </si>
  <si>
    <t>Demo Product 128</t>
  </si>
  <si>
    <t>Demo Product 129</t>
  </si>
  <si>
    <t>Demo Product 130</t>
  </si>
  <si>
    <t>Demo Product 131</t>
  </si>
  <si>
    <t>Demo Product 132</t>
  </si>
  <si>
    <t>Demo Product 133</t>
  </si>
  <si>
    <t>Demo Product 134</t>
  </si>
  <si>
    <t>Demo Product 135</t>
  </si>
  <si>
    <t>Demo Product 136</t>
  </si>
  <si>
    <t>Demo Product 137</t>
  </si>
  <si>
    <t>Demo Product 138</t>
  </si>
  <si>
    <t>Demo Product 139</t>
  </si>
  <si>
    <t>Demo Product 140</t>
  </si>
  <si>
    <t>Demo Product 141</t>
  </si>
  <si>
    <t>Demo Product 142</t>
  </si>
  <si>
    <t>Demo Product 143</t>
  </si>
  <si>
    <t>Demo Product 144</t>
  </si>
  <si>
    <t>k-001</t>
  </si>
  <si>
    <t>k-004</t>
  </si>
  <si>
    <t>k-007</t>
  </si>
  <si>
    <t>Demoprodukt 100</t>
  </si>
  <si>
    <t>Demoprodukt 101</t>
  </si>
  <si>
    <t>Demoprodukt 102</t>
  </si>
  <si>
    <t>Demoprodukt 103</t>
  </si>
  <si>
    <t>Demoprodukt 104</t>
  </si>
  <si>
    <t>Demoprodukt 105</t>
  </si>
  <si>
    <t>Demoprodukt 106</t>
  </si>
  <si>
    <t>Demoprodukt 107</t>
  </si>
  <si>
    <t>Demoprodukt 108</t>
  </si>
  <si>
    <t>Demoprodukt 109</t>
  </si>
  <si>
    <t>Demoprodukt 110</t>
  </si>
  <si>
    <t>Demoprodukt 111</t>
  </si>
  <si>
    <t>Demoprodukt 112</t>
  </si>
  <si>
    <t>Demoprodukt 113</t>
  </si>
  <si>
    <t>Demoprodukt 114</t>
  </si>
  <si>
    <t>Demoprodukt 115</t>
  </si>
  <si>
    <t>Demoprodukt 116</t>
  </si>
  <si>
    <t>Demoprodukt 117</t>
  </si>
  <si>
    <t>Demoprodukt 118</t>
  </si>
  <si>
    <t>Demoprodukt 119</t>
  </si>
  <si>
    <t>Demoprodukt 120</t>
  </si>
  <si>
    <t>Demoprodukt 121</t>
  </si>
  <si>
    <t>Demoprodukt 122</t>
  </si>
  <si>
    <t>Demoprodukt 123</t>
  </si>
  <si>
    <t>Demoprodukt 124</t>
  </si>
  <si>
    <t>Demoprodukt 125</t>
  </si>
  <si>
    <t>Demoprodukt 126</t>
  </si>
  <si>
    <t>Demoprodukt 127</t>
  </si>
  <si>
    <t>Demoprodukt 128</t>
  </si>
  <si>
    <t>Demoprodukt 129</t>
  </si>
  <si>
    <t>Demoprodukt 130</t>
  </si>
  <si>
    <t>Demoprodukt 131</t>
  </si>
  <si>
    <t>Demoprodukt 132</t>
  </si>
  <si>
    <t>Demoprodukt 133</t>
  </si>
  <si>
    <t>Demoprodukt 134</t>
  </si>
  <si>
    <t>Demoprodukt 135</t>
  </si>
  <si>
    <t>Demoprodukt 136</t>
  </si>
  <si>
    <t>Demoprodukt 137</t>
  </si>
  <si>
    <t>Demoprodukt 138</t>
  </si>
  <si>
    <t>Demoprodukt 139</t>
  </si>
  <si>
    <t>Demoprodukt 140</t>
  </si>
  <si>
    <t>Demoprodukt 141</t>
  </si>
  <si>
    <t>Demoprodukt 142</t>
  </si>
  <si>
    <t>Demoprodukt 143</t>
  </si>
  <si>
    <t>Demoprodukt 144</t>
  </si>
  <si>
    <t>color</t>
  </si>
  <si>
    <t>color-red</t>
  </si>
  <si>
    <t>color-green</t>
  </si>
  <si>
    <t>color-blue</t>
  </si>
  <si>
    <t>color-black</t>
  </si>
  <si>
    <t>color-white</t>
  </si>
  <si>
    <t>color-orange</t>
  </si>
  <si>
    <t>color-pink</t>
  </si>
  <si>
    <t>color-yellow</t>
  </si>
  <si>
    <t>color-brown</t>
  </si>
  <si>
    <t>color-multi</t>
  </si>
  <si>
    <t>color-beige</t>
  </si>
  <si>
    <t>merconis-damenschuhe,merconis-produkte-mit-staffelpreis</t>
  </si>
  <si>
    <t>5=45,9;10=42,60;20=36,90;50=32,67</t>
  </si>
  <si>
    <t>5=76,9;10=74,89;20=69,49;50=62,90</t>
  </si>
  <si>
    <t>5=67,90;10=63,89;20=59,9;50=52,9</t>
  </si>
  <si>
    <t>5=102,95;10=94,49;20=89,90;50=78,65</t>
  </si>
  <si>
    <t>5=86,9;10=84,89;20=79,49;50=72,90</t>
  </si>
  <si>
    <t>5=69,90;10=67,89;20=62,9;50=59,9</t>
  </si>
  <si>
    <t>merconis-taschen,merconis-produkte-mit-konfigurator</t>
  </si>
  <si>
    <t>Producer1</t>
  </si>
  <si>
    <t>Producer2</t>
  </si>
  <si>
    <t>Producer3</t>
  </si>
  <si>
    <t>Producer4</t>
  </si>
  <si>
    <t>Producer5</t>
  </si>
  <si>
    <t>Producer6</t>
  </si>
  <si>
    <t>Producer7</t>
  </si>
  <si>
    <t>Demoprodukt 097</t>
  </si>
  <si>
    <t>Demo Product 097</t>
  </si>
  <si>
    <t>Demoprodukt 098</t>
  </si>
  <si>
    <t>Demo Product 098</t>
  </si>
  <si>
    <t>Demoprodukt 099</t>
  </si>
  <si>
    <t>Demo Product 099</t>
  </si>
  <si>
    <t>Demo Product 001</t>
  </si>
  <si>
    <t>Demo Product 007</t>
  </si>
  <si>
    <t>Demo Product 057</t>
  </si>
  <si>
    <t>Demo Product 068</t>
  </si>
  <si>
    <t>Demo Product 069</t>
  </si>
  <si>
    <t>Demo Product 070</t>
  </si>
  <si>
    <t>Demo Product 071</t>
  </si>
  <si>
    <t>Demo Product 072</t>
  </si>
  <si>
    <t>Demoprodukt 073</t>
  </si>
  <si>
    <t>Demo Product 073</t>
  </si>
  <si>
    <t>Demoprodukt 074</t>
  </si>
  <si>
    <t>Demo Product 074</t>
  </si>
  <si>
    <t>Demoprodukt 075</t>
  </si>
  <si>
    <t>Demo Product 075</t>
  </si>
  <si>
    <t>Demoprodukt 076</t>
  </si>
  <si>
    <t>Demo Product 076</t>
  </si>
  <si>
    <t>Demoprodukt 077</t>
  </si>
  <si>
    <t>Demo Product 077</t>
  </si>
  <si>
    <t>Demoprodukt 078</t>
  </si>
  <si>
    <t>Demo Product 078</t>
  </si>
  <si>
    <t>Demoprodukt 079</t>
  </si>
  <si>
    <t>Demo Product 079</t>
  </si>
  <si>
    <t>Demoprodukt 080</t>
  </si>
  <si>
    <t>Demo Product 080</t>
  </si>
  <si>
    <t>Demoprodukt 081</t>
  </si>
  <si>
    <t>Demo Product 081</t>
  </si>
  <si>
    <t>Demoprodukt 082</t>
  </si>
  <si>
    <t>Demo Product 082</t>
  </si>
  <si>
    <t>Demoprodukt 083</t>
  </si>
  <si>
    <t>Demo Product 083</t>
  </si>
  <si>
    <t>Demoprodukt 084</t>
  </si>
  <si>
    <t>Demo Product 084</t>
  </si>
  <si>
    <t>Demoprodukt 085</t>
  </si>
  <si>
    <t>Demo Product 085</t>
  </si>
  <si>
    <t>Demoprodukt 086</t>
  </si>
  <si>
    <t>Demo Product 086</t>
  </si>
  <si>
    <t>Demoprodukt 087</t>
  </si>
  <si>
    <t>Demo Product 087</t>
  </si>
  <si>
    <t>Demoprodukt 088</t>
  </si>
  <si>
    <t>Demo Product 088</t>
  </si>
  <si>
    <t>Demoprodukt 089</t>
  </si>
  <si>
    <t>Demo Product 089</t>
  </si>
  <si>
    <t>Demoprodukt 090</t>
  </si>
  <si>
    <t>Demo Product 090</t>
  </si>
  <si>
    <t>Demoprodukt 091</t>
  </si>
  <si>
    <t>Demo Product 091</t>
  </si>
  <si>
    <t>Demoprodukt 092</t>
  </si>
  <si>
    <t>Demo Product 092</t>
  </si>
  <si>
    <t>Demoprodukt 093</t>
  </si>
  <si>
    <t>Demo Product 093</t>
  </si>
  <si>
    <t>Demoprodukt 094</t>
  </si>
  <si>
    <t>Demo Product 094</t>
  </si>
  <si>
    <t>Demoprodukt 095</t>
  </si>
  <si>
    <t>Demo Product 095</t>
  </si>
  <si>
    <t>Demoprodukt 096</t>
  </si>
  <si>
    <t>Demo Product 096</t>
  </si>
  <si>
    <t>System</t>
  </si>
  <si>
    <t>Außen 40</t>
  </si>
  <si>
    <t>Außen 25</t>
  </si>
  <si>
    <t>Farbe</t>
  </si>
  <si>
    <t>anthrazit</t>
  </si>
  <si>
    <t>Tiefe</t>
  </si>
  <si>
    <t>50 mm</t>
  </si>
  <si>
    <t>70 mm</t>
  </si>
  <si>
    <t>90 mm</t>
  </si>
  <si>
    <t>110 mm</t>
  </si>
  <si>
    <t>130 mm</t>
  </si>
  <si>
    <t>150 mm</t>
  </si>
  <si>
    <t>165 mm</t>
  </si>
  <si>
    <t>180 mm</t>
  </si>
  <si>
    <t>195 mm</t>
  </si>
  <si>
    <t>210 mm</t>
  </si>
  <si>
    <t>225 mm</t>
  </si>
  <si>
    <t>240 mm</t>
  </si>
  <si>
    <t>260 mm</t>
  </si>
  <si>
    <t>280 mm</t>
  </si>
  <si>
    <t>300 mm</t>
  </si>
  <si>
    <t>320 mm</t>
  </si>
  <si>
    <t>340 mm</t>
  </si>
  <si>
    <t>360 mm</t>
  </si>
  <si>
    <t>Stoßverbinder anthrazit</t>
  </si>
  <si>
    <t>04-Sep-19 / 9:45:36 AM</t>
  </si>
  <si>
    <t>Farbspray</t>
  </si>
  <si>
    <t>Fensterbank Außen</t>
  </si>
  <si>
    <t>Femsterbank Innen</t>
  </si>
  <si>
    <t>05.09.2019 / 14:03:36</t>
  </si>
  <si>
    <t>05.09.2019 / 14:03:58</t>
  </si>
  <si>
    <t>05.09.2019 / 14:07:51</t>
  </si>
  <si>
    <t>Abschluss Kunststoff grau</t>
  </si>
  <si>
    <t>05.09.2019 / 14:57:46</t>
  </si>
  <si>
    <t>05.09.2019 / 14:59:43</t>
  </si>
  <si>
    <t>05.09.2019 / 14:59:52</t>
  </si>
  <si>
    <t>05.09.2019 / 15:00:22</t>
  </si>
  <si>
    <t>05.09.2019 / 15:00:42</t>
  </si>
  <si>
    <t>05.09.2019 / 15:01:04</t>
  </si>
  <si>
    <t>05.09.2019 / 15:02:35</t>
  </si>
  <si>
    <t>05.09.2019 / 15:07:00</t>
  </si>
  <si>
    <t>05.09.2019 / 15:15:09</t>
  </si>
  <si>
    <t>farbe</t>
  </si>
  <si>
    <t>beige</t>
  </si>
  <si>
    <t>blau</t>
  </si>
  <si>
    <t>braun</t>
  </si>
  <si>
    <t>grau</t>
  </si>
  <si>
    <t>rot</t>
  </si>
  <si>
    <t>schwarz</t>
  </si>
  <si>
    <t>days-0</t>
  </si>
  <si>
    <t>days-1-2</t>
  </si>
  <si>
    <t>material</t>
  </si>
  <si>
    <t>10</t>
  </si>
  <si>
    <t>preorderingAllowed</t>
  </si>
  <si>
    <t>settingsForStockAndDeliveryTimeInPreorderPhase</t>
  </si>
  <si>
    <t>availableFrom</t>
  </si>
  <si>
    <t>overrideAvailabilitySettingsOfParentProduct</t>
  </si>
  <si>
    <t>x</t>
  </si>
  <si>
    <t>property21</t>
  </si>
  <si>
    <t>value21</t>
  </si>
  <si>
    <t>property22</t>
  </si>
  <si>
    <t>value22</t>
  </si>
  <si>
    <t>property23</t>
  </si>
  <si>
    <t>value23</t>
  </si>
  <si>
    <t>property24</t>
  </si>
  <si>
    <t>value24</t>
  </si>
  <si>
    <t>property25</t>
  </si>
  <si>
    <t>value25</t>
  </si>
  <si>
    <t>property26</t>
  </si>
  <si>
    <t>value26</t>
  </si>
  <si>
    <t>property27</t>
  </si>
  <si>
    <t>value27</t>
  </si>
  <si>
    <t>property28</t>
  </si>
  <si>
    <t>value28</t>
  </si>
  <si>
    <t>property29</t>
  </si>
  <si>
    <t>value29</t>
  </si>
  <si>
    <t>property30</t>
  </si>
  <si>
    <t>value30</t>
  </si>
  <si>
    <t>property31</t>
  </si>
  <si>
    <t>value31</t>
  </si>
  <si>
    <t>property32</t>
  </si>
  <si>
    <t>value32</t>
  </si>
  <si>
    <t>property33</t>
  </si>
  <si>
    <t>value33</t>
  </si>
  <si>
    <t>property34</t>
  </si>
  <si>
    <t>value34</t>
  </si>
  <si>
    <t>property35</t>
  </si>
  <si>
    <t>value35</t>
  </si>
  <si>
    <t>property36</t>
  </si>
  <si>
    <t>value36</t>
  </si>
  <si>
    <t>property37</t>
  </si>
  <si>
    <t>value37</t>
  </si>
  <si>
    <t>property38</t>
  </si>
  <si>
    <t>value38</t>
  </si>
  <si>
    <t>property39</t>
  </si>
  <si>
    <t>value39</t>
  </si>
  <si>
    <t>property40</t>
  </si>
  <si>
    <t>value40</t>
  </si>
  <si>
    <t>property41</t>
  </si>
  <si>
    <t>value41</t>
  </si>
  <si>
    <t>property42</t>
  </si>
  <si>
    <t>value42</t>
  </si>
  <si>
    <t>property43</t>
  </si>
  <si>
    <t>value43</t>
  </si>
  <si>
    <t>property44</t>
  </si>
  <si>
    <t>value44</t>
  </si>
  <si>
    <t>property45</t>
  </si>
  <si>
    <t>value45</t>
  </si>
  <si>
    <t>property46</t>
  </si>
  <si>
    <t>value46</t>
  </si>
  <si>
    <t>property47</t>
  </si>
  <si>
    <t>value47</t>
  </si>
  <si>
    <t>property48</t>
  </si>
  <si>
    <t>value48</t>
  </si>
  <si>
    <t>property49</t>
  </si>
  <si>
    <t>value49</t>
  </si>
  <si>
    <t>property50</t>
  </si>
  <si>
    <t>value50</t>
  </si>
  <si>
    <t>property51</t>
  </si>
  <si>
    <t>value51</t>
  </si>
  <si>
    <t>property52</t>
  </si>
  <si>
    <t>value52</t>
  </si>
  <si>
    <t>property53</t>
  </si>
  <si>
    <t>value53</t>
  </si>
  <si>
    <t>property54</t>
  </si>
  <si>
    <t>value54</t>
  </si>
  <si>
    <t>property55</t>
  </si>
  <si>
    <t>value55</t>
  </si>
  <si>
    <t>property56</t>
  </si>
  <si>
    <t>value56</t>
  </si>
  <si>
    <t>property57</t>
  </si>
  <si>
    <t>value57</t>
  </si>
  <si>
    <t>property58</t>
  </si>
  <si>
    <t>value58</t>
  </si>
  <si>
    <t>property59</t>
  </si>
  <si>
    <t>value59</t>
  </si>
  <si>
    <t>property60</t>
  </si>
  <si>
    <t>value60</t>
  </si>
  <si>
    <t>property61</t>
  </si>
  <si>
    <t>value61</t>
  </si>
  <si>
    <t>property62</t>
  </si>
  <si>
    <t>value62</t>
  </si>
  <si>
    <t>property63</t>
  </si>
  <si>
    <t>value63</t>
  </si>
  <si>
    <t>property64</t>
  </si>
  <si>
    <t>value64</t>
  </si>
  <si>
    <t>property65</t>
  </si>
  <si>
    <t>value65</t>
  </si>
  <si>
    <t>property66</t>
  </si>
  <si>
    <t>value66</t>
  </si>
  <si>
    <t>property67</t>
  </si>
  <si>
    <t>value67</t>
  </si>
  <si>
    <t>property68</t>
  </si>
  <si>
    <t>value68</t>
  </si>
  <si>
    <t>property69</t>
  </si>
  <si>
    <t>value69</t>
  </si>
  <si>
    <t>property70</t>
  </si>
  <si>
    <t>value70</t>
  </si>
  <si>
    <t>property71</t>
  </si>
  <si>
    <t>value71</t>
  </si>
  <si>
    <t>property72</t>
  </si>
  <si>
    <t>value72</t>
  </si>
  <si>
    <t>property73</t>
  </si>
  <si>
    <t>value73</t>
  </si>
  <si>
    <t>property74</t>
  </si>
  <si>
    <t>value74</t>
  </si>
  <si>
    <t>property75</t>
  </si>
  <si>
    <t>value75</t>
  </si>
  <si>
    <t>property76</t>
  </si>
  <si>
    <t>value76</t>
  </si>
  <si>
    <t>property77</t>
  </si>
  <si>
    <t>value77</t>
  </si>
  <si>
    <t>property78</t>
  </si>
  <si>
    <t>value78</t>
  </si>
  <si>
    <t>property79</t>
  </si>
  <si>
    <t>value79</t>
  </si>
  <si>
    <t>property80</t>
  </si>
  <si>
    <t>value80</t>
  </si>
  <si>
    <t>property81</t>
  </si>
  <si>
    <t>value81</t>
  </si>
  <si>
    <t>property82</t>
  </si>
  <si>
    <t>value82</t>
  </si>
  <si>
    <t>property83</t>
  </si>
  <si>
    <t>value83</t>
  </si>
  <si>
    <t>property84</t>
  </si>
  <si>
    <t>value84</t>
  </si>
  <si>
    <t>property85</t>
  </si>
  <si>
    <t>value85</t>
  </si>
  <si>
    <t>property86</t>
  </si>
  <si>
    <t>value86</t>
  </si>
  <si>
    <t>property87</t>
  </si>
  <si>
    <t>value87</t>
  </si>
  <si>
    <t>property88</t>
  </si>
  <si>
    <t>value88</t>
  </si>
  <si>
    <t>property89</t>
  </si>
  <si>
    <t>value89</t>
  </si>
  <si>
    <t>property90</t>
  </si>
  <si>
    <t>value90</t>
  </si>
  <si>
    <t>property91</t>
  </si>
  <si>
    <t>value91</t>
  </si>
  <si>
    <t>property92</t>
  </si>
  <si>
    <t>value92</t>
  </si>
  <si>
    <t>property93</t>
  </si>
  <si>
    <t>value93</t>
  </si>
  <si>
    <t>property94</t>
  </si>
  <si>
    <t>value94</t>
  </si>
  <si>
    <t>property95</t>
  </si>
  <si>
    <t>value95</t>
  </si>
  <si>
    <t>property96</t>
  </si>
  <si>
    <t>value96</t>
  </si>
  <si>
    <t>property97</t>
  </si>
  <si>
    <t>value97</t>
  </si>
  <si>
    <t>property98</t>
  </si>
  <si>
    <t>value98</t>
  </si>
  <si>
    <t>property99</t>
  </si>
  <si>
    <t>value99</t>
  </si>
  <si>
    <t>property100</t>
  </si>
  <si>
    <t>value100</t>
  </si>
  <si>
    <t>farbe-kissen</t>
  </si>
  <si>
    <t>farbe-korpus</t>
  </si>
  <si>
    <t>füße</t>
  </si>
  <si>
    <t>zierknöpfe</t>
  </si>
  <si>
    <t>grün</t>
  </si>
  <si>
    <t>gelb</t>
  </si>
  <si>
    <t>orange</t>
  </si>
  <si>
    <t>altrosa</t>
  </si>
  <si>
    <t>creme</t>
  </si>
  <si>
    <t>grau-5562</t>
  </si>
  <si>
    <t>schwarz-5564</t>
  </si>
  <si>
    <t>grün-5567</t>
  </si>
  <si>
    <t>cappuccino-braun</t>
  </si>
  <si>
    <t>dunkelbraun</t>
  </si>
  <si>
    <t>beige-5571</t>
  </si>
  <si>
    <t>grau-5570</t>
  </si>
  <si>
    <t>schwarz-5572</t>
  </si>
  <si>
    <t>blau-5573</t>
  </si>
  <si>
    <t>rot-5574</t>
  </si>
  <si>
    <t>grün-5575</t>
  </si>
  <si>
    <t>cappuccino-braun-5576</t>
  </si>
  <si>
    <t>dunkelbraun-5577</t>
  </si>
  <si>
    <t>buche-natur</t>
  </si>
  <si>
    <t>buche-dunkel-gebeizt</t>
  </si>
  <si>
    <t>buche-schwarz-lackiert</t>
  </si>
  <si>
    <t>stahl-versilbert</t>
  </si>
  <si>
    <t>stahl-vergoldet</t>
  </si>
  <si>
    <t>holz</t>
  </si>
  <si>
    <t>metall</t>
  </si>
  <si>
    <t>glas</t>
  </si>
  <si>
    <t>stoff</t>
  </si>
  <si>
    <t>mit-zierknöpfen-in-stofffarbe</t>
  </si>
  <si>
    <t>mit-goldenen-zierknöpfen</t>
  </si>
  <si>
    <t>mit-silbernen-zierknöpfen</t>
  </si>
  <si>
    <t>ohne-zierknöpfe</t>
  </si>
  <si>
    <t>kategorie-1-2</t>
  </si>
  <si>
    <t>merconis-taschen</t>
  </si>
  <si>
    <t>merconis-kleider</t>
  </si>
  <si>
    <t>merconis-produkte-mit-varianten</t>
  </si>
  <si>
    <t>merconis-produkte-mit-konfigurator</t>
  </si>
  <si>
    <t>merconis-produkte-mit-staffelpreis</t>
  </si>
  <si>
    <t>half</t>
  </si>
  <si>
    <t>Beutel</t>
  </si>
  <si>
    <t>Bag</t>
  </si>
  <si>
    <t>Pcs.</t>
  </si>
  <si>
    <t>unknown</t>
  </si>
  <si>
    <t>days-10-14</t>
  </si>
  <si>
    <t>variantenwertPreisTyp§§§§§§variantenwertPreis§§§§§§variantenwertAlterPreisTyp§§§§§§variantenwertAlterPreis§§§§§§variantenwertGewicht§§§§§§variantenwertGewichtTyp§§§§§§variantenwertLagerbestandsänderung§§§§§§variantenwertLieferzeit§§§§§§variantenwertHauptbild§§§§§§variantenwertWeitereBilder§§§§§§Image2§§§§§§Image3§§§§§§variantenwertArtikelnummerPräfixStart§§§§§§variantenwertArtikelnummerSuffixStart§§§1§§§variantenwertCheckboxHauptartikelnummerVerwenden§§§True§§§variantenwertArtikelnummerTrennzeichen§§§-§§§variantenwertTextfeldFremdsprachen§§§en§§§variantenwertCheckboxHauptartikelPreisVerwenden§§§True§§§variantenwertCheckboxHauptartikelAlterPreisVerwenden§§§False§§§variantenwertCheckboxHauptartikelGewichtVerwenden§§§False§§§variantenwertCheckboxHauptartikelLagerbestandLieferzeitVerwenden§§§True§§§variantenwertBeschreibung§§§§§§variantenwertKurzbeschreibung§§§§§§variantenwertCheckboxKurzbeschrIstFormel§§§False§§§variantenwertCheckboxBeschrIstFormel§§§False§§§variantenwertBezeichnung§§§§§§variantenwertCheckboxBezeichnungIstFormel§§§False§§§variantenwertArtikelnummer§§§§§§variantenwertCheckboxArtikelnummerIstFormel§§§False§§§überschrift02Deutsch§§§False§§§variantenwertCheckboxHauptbildIstFormel§§§False§§§variantenwertCheckboxWeitereBilderIstFormel§§§False§§§überschrift01English§§§False§§§variantenwertStaffelpreisPreis§§§§§§variantenwertCheckboxStaffelpreisHauptartikelPreisVerwenden§§§False§§§variantenwertCheckboxStaffelpreisAnwenden§§§False§§§variantenwertCheckboxStaffelpreisKonfigsTrennen§§§False§§§Image4§§§False§§§Image5§§§False§§§Image6§§§False§§§Image7§§§False§§§Image8§§§False§§§variantenwertStaffelpreisTyp§§§§§§variantenwertStaffelpreisMengenermittlungTyp§§§§§§Image9§§§§§§Image10§§§§§§Image11§§§§§§Image12§§§§§§Image13§§§§§§variantenwertStaffelpreisSchlüsselwort§§§§§§Image14§§§§§§Image15§§§§§§überschrift01Deutsch§§§§§§überschrift02English§§§§§§variantenwertCheckboxVorbestellungErlaubt§§§False§§§variantenwertCheckboxVerfuegbarkeitsEinstellungenBeimUebergeordnetenProduktUeberschreiben§§§False§§§variantenwertLagerbestandUndLieferzeitInVorbestellungsphase§§§§§§variantenwertVerfuegbarAb§§§§§§standard_checkbox§§§True§§§alternative1_checkbox§§§True§§§alternative2_checkbox§§§True§§§color-black_checkbox§§§True§§§color-white_checkbox§§§True§§§color-yellow_checkbox§§§True</t>
  </si>
  <si>
    <t>bk_001</t>
  </si>
  <si>
    <t>Kissen</t>
  </si>
  <si>
    <t>kissen</t>
  </si>
  <si>
    <t>At accusam aliquyam diam diam dolore dolores duo eirmod eos erat, et nonumy sed tempor et et invidunt justo labore Stet clita ea et gubergren, kasd magna no rebum. sanctus sea sed takimata ut vero voluptua. est Lorem ipsum dolor sit amet. Lorem ipsum dolor sit amet, consetetur sadipscing elitr, sed diam nonumy eirmod tempor invidunt ut labore et dolore magna aliquyam erat.Stet clita kasd gubergren, no sea takimata sanctus est Lorem ipsum dolor sit amet. Lorem ipsum dolor sit amet, consetetur sadipscing elitr, sed diam nonumy eirmod tempor invidunt ut labore et dolore magna aliquyam erat, sed diam voluptua. At vero eos et accusam et justo duo dolores et ea rebum. Stet clita kasd gubergren, no sea takimata sanctus est Lorem ipsum dolor sit amet. Lorem ipsum dolor sit amet, consetetur sadipscing elitr, sed diam nonumy eirmod tempor invidunt ut labore et dolore magna aliquyam erat, sed diam voluptua. At vero eos et accusam et justo duo dolores et ea rebum. Stet clita kasd gubergren, no sea takimata sanctus.</t>
  </si>
  <si>
    <t>At vero eos et accusam et justo duo dolores et ea rebum. Stet clita kasd gubergren, no sea takimata sanctus.</t>
  </si>
  <si>
    <t>Hersteller Nr. 3</t>
  </si>
  <si>
    <t>5=2;10=1,50;50=1,25</t>
  </si>
  <si>
    <t>manuelle-zuweisung/kissen/dummy_01.jpg</t>
  </si>
  <si>
    <t>manuelle-zuweisung/kissen/dummy_02.jpg</t>
  </si>
  <si>
    <t>100</t>
  </si>
  <si>
    <t xml:space="preserve">At vero eos et accusam et justo duo dolores et ea rebum. </t>
  </si>
  <si>
    <t>Cushion</t>
  </si>
  <si>
    <t>cushion</t>
  </si>
  <si>
    <t>ls_side_001</t>
  </si>
  <si>
    <t>Sideboard</t>
  </si>
  <si>
    <t>sideboard</t>
  </si>
  <si>
    <t>Stet clita kasd gubergren, no sea takimata sanctus est Lorem ipsum dolor sit amet. Lorem ipsum dolor sit amet, consetetur sadipscing elitr, sed diam nonumy eirmod tempor invidunt ut labore et dolore magna aliquyam erat, sed diam voluptua. At vero eos et accusam et justo duo dolores et ea rebum. Stet clita kasd gubergren, no sea takimata sanctus est Lorem ipsum dolor sit amet. Lorem ipsum dolor sit amet, consetetur sadipscing elitr, sed diam nonumy eirmod tempor invidunt ut labore et dolore magna aliquyam erat, sed diam voluptua.</t>
  </si>
  <si>
    <t>Stet clita kasd gubergren, no sea takimata sanctus est Lorem ipsum dolor sit amet.</t>
  </si>
  <si>
    <t>Hersteller Nr. 2</t>
  </si>
  <si>
    <t>manuelle-zuweisung/sideboard/dummy_03.jpg</t>
  </si>
  <si>
    <t>0</t>
  </si>
  <si>
    <t> Stet clita kasd gubergren, no sea takimata sanctus est Lorem ipsum dolor sit amet.</t>
  </si>
  <si>
    <t>ls_la_02</t>
  </si>
  <si>
    <t>Stehlampe</t>
  </si>
  <si>
    <t>lampe-pelle</t>
  </si>
  <si>
    <t>Stet clita kasd gubergren, no sea takimata sanctus est Lorem ipsum dolor sit amet. Lorem ipsum dolor sit amet, consetetur sadipscing elitr, sed diam nonumy eirmod tempor invidunt ut labore et dolore magna aliquyam erat, sed diam voluptua. At vero eos et accusam et justo duo dolores et ea rebum. Stet clita kasd gubergren, no sea takimata sanctus est Lorem ipsum dolor sit amet. Lorem ipsum dolor sit amet, consetetur sadipscing elitr, sed diam nonumy eirmod tempor invidunt ut labore et dolore magna aliquyam erat, sed diam voluptua. At vero eos et accusam et justo duo dolores et ea rebum. Stet clita kasd gubergren, no sea takimata sanctus.</t>
  </si>
  <si>
    <t>At vero eos et accusam et justo duo dolores et ea rebum.</t>
  </si>
  <si>
    <t>manuelle-zuweisung/stehlampe/dummy_04.jpg</t>
  </si>
  <si>
    <t>manuelle-zuweisung/stehlampe/dummy_05.jpg</t>
  </si>
  <si>
    <t>Floor lamp</t>
  </si>
  <si>
    <t>floor-lamp</t>
  </si>
  <si>
    <t>WMBE140040011-01</t>
  </si>
  <si>
    <t>Alternative 1</t>
  </si>
  <si>
    <t>alternative-1</t>
  </si>
  <si>
    <t>Lorem ipsum dolor sit amet, consetetur sadipscing elitr, sed diam nonumy eirmod tempor invidunt ut labore et dolore magna aliquyam erat, sed diam voluptua. At vero eos et accusam et justo duo dolores et ea rebum. Stet clita kasd gubergren, no sea takimata sanctus est Lorem ipsum dolor sit amet.</t>
  </si>
  <si>
    <t>manuelle-zuweisung/stehlampe/dummy_06.jpg</t>
  </si>
  <si>
    <t>WMBE140040011-02</t>
  </si>
  <si>
    <t>Alternative 2</t>
  </si>
  <si>
    <t>alternative-2</t>
  </si>
  <si>
    <t>manuelle-zuweisung/stehlampe/dummy_07.jpg</t>
  </si>
  <si>
    <t>20</t>
  </si>
  <si>
    <t>WMBE140040011-03</t>
  </si>
  <si>
    <t>Alternative 3</t>
  </si>
  <si>
    <t>alternative-3</t>
  </si>
  <si>
    <t>manuelle-zuweisung/stehlampe/dummy_08.jpg</t>
  </si>
  <si>
    <t>WMBE140040011-04</t>
  </si>
  <si>
    <t>Alternative 4</t>
  </si>
  <si>
    <t>alternative-4</t>
  </si>
  <si>
    <t>manuelle-zuweisung/stehlampe/dummy_09.jpg</t>
  </si>
  <si>
    <t>ls_se_002_01</t>
  </si>
  <si>
    <t>Sessel Kilan</t>
  </si>
  <si>
    <t>sessel-kilan</t>
  </si>
  <si>
    <t>manuelle-zuweisung/sessel/dummy_01.jpg</t>
  </si>
  <si>
    <t>manuelle-zuweisung/sessel/dummy_02.jpg</t>
  </si>
  <si>
    <t>Armchair Kilan</t>
  </si>
  <si>
    <t>armchair-kilan</t>
  </si>
  <si>
    <t>bs-001</t>
  </si>
  <si>
    <t>Sessel So nice</t>
  </si>
  <si>
    <t>sessel-001</t>
  </si>
  <si>
    <t>Lorem ipsum dolor sit amet, consetetur sadipscing elitr.</t>
  </si>
  <si>
    <t>manuelle-zuweisung/sessel/dummy_03.jpg</t>
  </si>
  <si>
    <t>Stet clita kasd gubergren, no sea takimata sanctus. Stet clita kasd gubergren, no sea takimata sanctus.</t>
  </si>
  <si>
    <t>Stet clita kasd gubergren, no sea takimata sanctus.</t>
  </si>
  <si>
    <t>Armchair So nice</t>
  </si>
  <si>
    <t>bst-001-0</t>
  </si>
  <si>
    <t>Stuhl Skol</t>
  </si>
  <si>
    <t>stuhl-001</t>
  </si>
  <si>
    <t>Hersteller Nr. 1</t>
  </si>
  <si>
    <t>Chair Skol</t>
  </si>
  <si>
    <t>chair-001</t>
  </si>
  <si>
    <t xml:space="preserve">128
</t>
  </si>
  <si>
    <t>bst-001-1</t>
  </si>
  <si>
    <t>stuhl-skol</t>
  </si>
  <si>
    <t>Es packte seine sieben Versalien, schob sich sein Initial in den Gürtel und machte sich auf den Weg. Als es die ersten Hügel des Kursivgebirges erklommen hatte, warf es einen letzten Blick zurück auf die Skyline seiner Heimatstadt Buchstabhausen, die Headline von Alphabetdorf und die Subline seiner eigenen Straße, der Zeilengasse.</t>
  </si>
  <si>
    <t>chair-skol</t>
  </si>
  <si>
    <t>It packed its seven capitals, slipped its initial into its belt and set off. When it had climbed the first hills of the cursive mountains, it took one last look back at the skyline of its hometown Buchstabhausen, the headline of Alphabetdorf and the subline of its own street, Zeilengasse.</t>
  </si>
  <si>
    <t>bst-001-2</t>
  </si>
  <si>
    <t>stuhl-skol-17186</t>
  </si>
  <si>
    <t>chair-skol-17186</t>
  </si>
  <si>
    <t>SMV01</t>
  </si>
  <si>
    <t>Sessel mit Varianten</t>
  </si>
  <si>
    <t>sessel-mit-varianten</t>
  </si>
  <si>
    <t>Dänische Sesselfabrik</t>
  </si>
  <si>
    <t>Armchair with variants</t>
  </si>
  <si>
    <t>armchair-with-variants</t>
  </si>
  <si>
    <t>SMV01-GRGRONBN</t>
  </si>
  <si>
    <t>-17191</t>
  </si>
  <si>
    <t>Beschreibung der Variante</t>
  </si>
  <si>
    <t>Variant description</t>
  </si>
  <si>
    <t>SMV01-BGBGONBN</t>
  </si>
  <si>
    <t>-17192</t>
  </si>
  <si>
    <t>SMV01-SWSWONBN</t>
  </si>
  <si>
    <t>-17193</t>
  </si>
  <si>
    <t>SMV01-CBCBONBN</t>
  </si>
  <si>
    <t>-17194</t>
  </si>
  <si>
    <t>SMV01-DBDBONBN</t>
  </si>
  <si>
    <t>-17195</t>
  </si>
  <si>
    <t>SMV01-BLBLONBN</t>
  </si>
  <si>
    <t>-17196</t>
  </si>
  <si>
    <t>SMV01-RTRTONBN</t>
  </si>
  <si>
    <t>-17197</t>
  </si>
  <si>
    <t>SMV01-GNGNONBN</t>
  </si>
  <si>
    <t>-17198</t>
  </si>
  <si>
    <t>SMV01-SWSWSLVS</t>
  </si>
  <si>
    <t>-17199</t>
  </si>
  <si>
    <t xml:space="preserve">42,0168
</t>
  </si>
  <si>
    <t>SMV01-GRGRSFBN</t>
  </si>
  <si>
    <t>SMV01-BGBGSFBN</t>
  </si>
  <si>
    <t>SMV01-SWSWSFBN</t>
  </si>
  <si>
    <t>SMV01-CBCBSFBN</t>
  </si>
  <si>
    <t>SMV01-DBDBSFBN</t>
  </si>
  <si>
    <t>SMV01-BLBLSFBN</t>
  </si>
  <si>
    <t>SMV01-RTRTSFBN</t>
  </si>
  <si>
    <t>SMV01-GNGNSFBN</t>
  </si>
  <si>
    <t>-17207</t>
  </si>
  <si>
    <t xml:space="preserve">84,0336
</t>
  </si>
  <si>
    <t>SMV01-SWSWSFBS</t>
  </si>
  <si>
    <t>-17208</t>
  </si>
  <si>
    <t>SMV01-SWSWSFVS</t>
  </si>
  <si>
    <t>-17209</t>
  </si>
  <si>
    <t>SMV01-SWSWSFVG</t>
  </si>
  <si>
    <t>-17210</t>
  </si>
  <si>
    <t>SMV01-SWSWGLVG</t>
  </si>
  <si>
    <t>Exklusive Echtgoldausführung</t>
  </si>
  <si>
    <t>-17211</t>
  </si>
  <si>
    <t>SMV01-DBDBSFBD</t>
  </si>
  <si>
    <t>-17212</t>
  </si>
  <si>
    <t>SMV01-GRBGSFBN</t>
  </si>
  <si>
    <t>-17213</t>
  </si>
  <si>
    <t xml:space="preserve">67,2268
</t>
  </si>
  <si>
    <t>SMV01-GRSWSFBN</t>
  </si>
  <si>
    <t>-17214</t>
  </si>
  <si>
    <t>SMV01-BGGRSFBN</t>
  </si>
  <si>
    <t>-17215</t>
  </si>
  <si>
    <t>SMV01-BGSWSFBN</t>
  </si>
  <si>
    <t>-17216</t>
  </si>
  <si>
    <t>-17217</t>
  </si>
  <si>
    <t>SMV01-SWBGSFBN</t>
  </si>
  <si>
    <t>-17218</t>
  </si>
  <si>
    <t>SMV01-GRBGSFBD</t>
  </si>
  <si>
    <t>-17219</t>
  </si>
  <si>
    <t>SMV01-GRSWSFBD</t>
  </si>
  <si>
    <t>-17220</t>
  </si>
  <si>
    <t>SMV01-BGGRSFBD</t>
  </si>
  <si>
    <t>-17221</t>
  </si>
  <si>
    <t>SMV01-BGSWSFBD</t>
  </si>
  <si>
    <t>-17222</t>
  </si>
  <si>
    <t>SMV01-SWGRSFBD</t>
  </si>
  <si>
    <t>-17223</t>
  </si>
  <si>
    <t>SMV01-SWBGSFBD</t>
  </si>
  <si>
    <t>-17224</t>
  </si>
  <si>
    <t>SMV01-GRBGSFVS</t>
  </si>
  <si>
    <t>-17225</t>
  </si>
  <si>
    <t>SMV01-GRSWSFVS</t>
  </si>
  <si>
    <t>-17226</t>
  </si>
  <si>
    <t>SMV01-BGGRSFVS</t>
  </si>
  <si>
    <t>-17227</t>
  </si>
  <si>
    <t>SMV01-BGSWSFVS</t>
  </si>
  <si>
    <t>-17228</t>
  </si>
  <si>
    <t>SMV01-SWGRSFVS</t>
  </si>
  <si>
    <t>-17229</t>
  </si>
  <si>
    <t>SMV01-SWBGSFVS</t>
  </si>
  <si>
    <t>-17230</t>
  </si>
  <si>
    <t>1.65</t>
  </si>
  <si>
    <t>pageTitle</t>
  </si>
  <si>
    <t>metaDescription</t>
  </si>
  <si>
    <t>Seitentitel</t>
  </si>
  <si>
    <t>Meta-Seitenbeschreibung</t>
  </si>
  <si>
    <t>Meta-Desc: Sessel mit Varianten</t>
  </si>
  <si>
    <t>pageTitel: Sessel mit Varianten</t>
  </si>
  <si>
    <t>pageTitel: engl</t>
  </si>
  <si>
    <t>Meta-Desc: engl Sessel mit</t>
  </si>
  <si>
    <t>Produkt</t>
  </si>
  <si>
    <t>d001</t>
  </si>
  <si>
    <t>Mein eigenes Test-Produkt</t>
  </si>
  <si>
    <t>Hier die Beschreibung meines Test-Produkts</t>
  </si>
  <si>
    <t>Das ist die Kurzbeschreibung meines Testprodukts</t>
  </si>
  <si>
    <t>Hersteller: Louis Vitton</t>
  </si>
  <si>
    <t>Seitentitel: test123</t>
  </si>
  <si>
    <t>Metabeschreibung: test234</t>
  </si>
  <si>
    <t>kleiner FlexContent1: Test</t>
  </si>
  <si>
    <t>Produkt (Fremdsprache)</t>
  </si>
  <si>
    <t>My own product</t>
  </si>
  <si>
    <t>Here´s the description 123</t>
  </si>
  <si>
    <t>Thats the shot Description 234</t>
  </si>
  <si>
    <t>english pageTitle</t>
  </si>
  <si>
    <t>english Metadescription test 345</t>
  </si>
  <si>
    <t>salesUnitSize</t>
  </si>
  <si>
    <t>salesUnit</t>
  </si>
  <si>
    <t>minimumOrderQuantity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</si>
</sst>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
    <numFmt numFmtId="165" formatCode="0.000000"/>
  </numFmts>
  <fonts count="20" x14ac:knownFonts="1">
    <font>
      <sz val="11"/>
      <color theme="1"/>
      <name val="Calibri"/>
      <family val="2"/>
      <scheme val="minor"/>
    </font>
    <font>
      <b/>
      <sz val="16"/>
      <color indexed="81"/>
      <name val="Tahoma"/>
      <family val="2"/>
    </font>
    <font>
      <sz val="10"/>
      <color theme="1"/>
      <name val="Arial Narrow"/>
      <family val="2"/>
    </font>
    <font>
      <sz val="24"/>
      <color theme="1"/>
      <name val="Arial Narrow"/>
      <family val="2"/>
    </font>
    <font>
      <sz val="11"/>
      <color theme="1"/>
      <name val="Arial Narrow"/>
      <family val="2"/>
    </font>
    <font>
      <b/>
      <sz val="12"/>
      <color theme="1"/>
      <name val="Arial Narrow"/>
      <family val="2"/>
    </font>
    <font>
      <sz val="12"/>
      <color theme="1"/>
      <name val="Arial Narrow"/>
      <family val="2"/>
    </font>
    <font>
      <sz val="10"/>
      <color theme="0"/>
      <name val="Arial Narrow"/>
      <family val="2"/>
    </font>
    <font>
      <b/>
      <sz val="24"/>
      <color theme="1"/>
      <name val="Arial Narrow"/>
      <family val="2"/>
    </font>
    <font>
      <sz val="8"/>
      <color theme="1"/>
      <name val="Arial Narrow"/>
      <family val="2"/>
    </font>
    <font>
      <sz val="1"/>
      <color theme="0"/>
      <name val="Arial Narrow"/>
      <family val="2"/>
    </font>
    <font>
      <sz val="10"/>
      <color rgb="FFFFFFFF"/>
      <name val="Arial Narrow"/>
      <family val="2"/>
    </font>
    <font>
      <sz val="11"/>
      <color rgb="FFFFFFFF"/>
      <name val="Arial Narrow"/>
      <family val="2"/>
    </font>
    <font>
      <sz val="11"/>
      <color rgb="FFFF0000"/>
      <name val="Arial Narrow"/>
      <family val="2"/>
    </font>
    <font>
      <b/>
      <sz val="24"/>
      <color rgb="FFFF0000"/>
      <name val="Arial Narrow"/>
      <family val="2"/>
    </font>
    <font>
      <sz val="8"/>
      <color rgb="FF000000"/>
      <name val="Tahoma"/>
      <family val="2"/>
    </font>
    <font>
      <b/>
      <sz val="12"/>
      <color rgb="FFF1F1F2"/>
      <name val="Arial Narrow"/>
      <family val="2"/>
    </font>
    <font>
      <sz val="8"/>
      <name val="Calibri"/>
      <family val="2"/>
      <scheme val="minor"/>
    </font>
    <font>
      <sz val="11"/>
      <color rgb="FF222222"/>
      <name val="Segoe UI"/>
      <family val="2"/>
    </font>
    <font>
      <b/>
      <sz val="24"/>
      <color rgb="FFFFFFFF"/>
      <name val="Arial Narrow"/>
      <family val="2"/>
    </font>
  </fonts>
  <fills count="18">
    <fill>
      <patternFill patternType="none"/>
    </fill>
    <fill>
      <patternFill patternType="gray125"/>
    </fill>
    <fill>
      <patternFill patternType="solid">
        <fgColor theme="0"/>
        <bgColor indexed="64"/>
      </patternFill>
    </fill>
    <fill>
      <patternFill patternType="solid">
        <fgColor theme="0" tint="-0.249977111117893"/>
        <bgColor indexed="64"/>
      </patternFill>
    </fill>
    <fill>
      <patternFill patternType="solid">
        <fgColor rgb="FFA9A9A9"/>
        <bgColor indexed="64"/>
      </patternFill>
    </fill>
    <fill>
      <patternFill patternType="solid">
        <fgColor theme="6" tint="0.39997558519241921"/>
        <bgColor indexed="64"/>
      </patternFill>
    </fill>
    <fill>
      <patternFill patternType="solid">
        <fgColor theme="9" tint="-0.249977111117893"/>
        <bgColor indexed="64"/>
      </patternFill>
    </fill>
    <fill>
      <patternFill patternType="solid">
        <fgColor theme="6" tint="-0.249977111117893"/>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rgb="FF92D050"/>
        <bgColor indexed="64"/>
      </patternFill>
    </fill>
    <fill>
      <patternFill patternType="solid">
        <fgColor rgb="FFE2E6DE"/>
        <bgColor indexed="64"/>
      </patternFill>
    </fill>
    <fill>
      <patternFill patternType="solid">
        <fgColor rgb="FFC0DDF2"/>
        <bgColor indexed="64"/>
      </patternFill>
    </fill>
    <fill>
      <patternFill patternType="solid">
        <fgColor rgb="FF1B6729"/>
        <bgColor indexed="64"/>
      </patternFill>
    </fill>
    <fill>
      <patternFill patternType="solid">
        <fgColor rgb="FF248837"/>
        <bgColor indexed="64"/>
      </patternFill>
    </fill>
    <fill>
      <patternFill patternType="solid">
        <fgColor rgb="FFBFBFBF"/>
        <bgColor indexed="64"/>
      </patternFill>
    </fill>
    <fill>
      <patternFill patternType="solid">
        <fgColor rgb="FFFF0000"/>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diagonal/>
    </border>
    <border>
      <left style="hair">
        <color auto="1"/>
      </left>
      <right style="hair">
        <color auto="1"/>
      </right>
      <top/>
      <bottom style="hair">
        <color auto="1"/>
      </bottom>
      <diagonal/>
    </border>
    <border>
      <left style="hair">
        <color auto="1"/>
      </left>
      <right style="hair">
        <color auto="1"/>
      </right>
      <top/>
      <bottom/>
      <diagonal/>
    </border>
  </borders>
  <cellStyleXfs count="1">
    <xf numFmtId="0" fontId="0" fillId="0" borderId="0"/>
  </cellStyleXfs>
  <cellXfs count="182">
    <xf numFmtId="0" fontId="0" fillId="0" borderId="0" xfId="0"/>
    <xf numFmtId="0" fontId="4" fillId="2" borderId="0" xfId="0" applyFont="1" applyFill="1" applyBorder="1" applyProtection="1"/>
    <xf numFmtId="0" fontId="4" fillId="4" borderId="0" xfId="0" applyFont="1" applyFill="1" applyBorder="1" applyProtection="1"/>
    <xf numFmtId="0" fontId="6" fillId="2" borderId="0" xfId="0" applyFont="1" applyFill="1" applyAlignment="1" applyProtection="1">
      <alignment wrapText="1"/>
    </xf>
    <xf numFmtId="0" fontId="4" fillId="2" borderId="0" xfId="0" applyFont="1" applyFill="1" applyProtection="1">
      <protection locked="0"/>
    </xf>
    <xf numFmtId="0" fontId="2" fillId="2" borderId="0" xfId="0" applyFont="1" applyFill="1" applyBorder="1" applyAlignment="1" applyProtection="1">
      <alignment vertical="top"/>
    </xf>
    <xf numFmtId="0" fontId="3" fillId="2" borderId="0" xfId="0" applyFont="1" applyFill="1" applyBorder="1" applyAlignment="1" applyProtection="1">
      <alignment vertical="top"/>
    </xf>
    <xf numFmtId="0" fontId="2" fillId="3" borderId="0" xfId="0" applyFont="1" applyFill="1" applyBorder="1" applyAlignment="1" applyProtection="1">
      <alignment vertical="top"/>
    </xf>
    <xf numFmtId="0" fontId="2" fillId="2" borderId="0" xfId="0" applyFont="1" applyFill="1" applyBorder="1" applyAlignment="1" applyProtection="1">
      <alignment vertical="top" wrapText="1"/>
    </xf>
    <xf numFmtId="0" fontId="4" fillId="2" borderId="0" xfId="0" applyFont="1" applyFill="1" applyProtection="1"/>
    <xf numFmtId="0" fontId="2" fillId="2" borderId="0" xfId="0" applyFont="1" applyFill="1" applyBorder="1" applyProtection="1"/>
    <xf numFmtId="0" fontId="2" fillId="2" borderId="0" xfId="0" applyNumberFormat="1" applyFont="1" applyFill="1" applyBorder="1" applyAlignment="1" applyProtection="1">
      <alignment vertical="top"/>
    </xf>
    <xf numFmtId="0" fontId="2" fillId="3" borderId="0" xfId="0" applyNumberFormat="1" applyFont="1" applyFill="1" applyBorder="1" applyAlignment="1" applyProtection="1">
      <alignment vertical="top"/>
    </xf>
    <xf numFmtId="164" fontId="2" fillId="2" borderId="0" xfId="0" applyNumberFormat="1" applyFont="1" applyFill="1" applyBorder="1" applyAlignment="1" applyProtection="1">
      <alignment vertical="top"/>
    </xf>
    <xf numFmtId="164" fontId="2" fillId="3" borderId="0" xfId="0" applyNumberFormat="1" applyFont="1" applyFill="1" applyBorder="1" applyAlignment="1" applyProtection="1">
      <alignment vertical="top"/>
    </xf>
    <xf numFmtId="2" fontId="2" fillId="2" borderId="0" xfId="0" applyNumberFormat="1" applyFont="1" applyFill="1" applyBorder="1" applyAlignment="1" applyProtection="1">
      <alignment vertical="top"/>
    </xf>
    <xf numFmtId="2" fontId="2" fillId="3" borderId="0" xfId="0" applyNumberFormat="1" applyFont="1" applyFill="1" applyBorder="1" applyAlignment="1" applyProtection="1">
      <alignment vertical="top"/>
    </xf>
    <xf numFmtId="1" fontId="2" fillId="2" borderId="0" xfId="0" applyNumberFormat="1" applyFont="1" applyFill="1" applyBorder="1" applyAlignment="1" applyProtection="1">
      <alignment vertical="top"/>
    </xf>
    <xf numFmtId="1" fontId="2" fillId="3" borderId="0" xfId="0" applyNumberFormat="1" applyFont="1" applyFill="1" applyBorder="1" applyAlignment="1" applyProtection="1">
      <alignment vertical="top"/>
    </xf>
    <xf numFmtId="165" fontId="2" fillId="2" borderId="0" xfId="0" applyNumberFormat="1" applyFont="1" applyFill="1" applyBorder="1" applyAlignment="1" applyProtection="1">
      <alignment vertical="top"/>
    </xf>
    <xf numFmtId="165" fontId="2" fillId="3" borderId="0" xfId="0" applyNumberFormat="1" applyFont="1" applyFill="1" applyBorder="1" applyAlignment="1" applyProtection="1">
      <alignment vertical="top"/>
    </xf>
    <xf numFmtId="0" fontId="4" fillId="6" borderId="1" xfId="0" applyFont="1" applyFill="1" applyBorder="1" applyProtection="1">
      <protection locked="0"/>
    </xf>
    <xf numFmtId="0" fontId="9" fillId="9" borderId="0" xfId="0" applyFont="1" applyFill="1" applyBorder="1" applyAlignment="1" applyProtection="1">
      <alignment vertical="top" wrapText="1"/>
    </xf>
    <xf numFmtId="164" fontId="9" fillId="9" borderId="0" xfId="0" applyNumberFormat="1" applyFont="1" applyFill="1" applyBorder="1" applyAlignment="1" applyProtection="1">
      <alignment vertical="top" wrapText="1"/>
    </xf>
    <xf numFmtId="0" fontId="9" fillId="9" borderId="0" xfId="0" applyNumberFormat="1" applyFont="1" applyFill="1" applyBorder="1" applyAlignment="1" applyProtection="1">
      <alignment vertical="top" wrapText="1"/>
    </xf>
    <xf numFmtId="2" fontId="9" fillId="9" borderId="0" xfId="0" applyNumberFormat="1" applyFont="1" applyFill="1" applyBorder="1" applyAlignment="1" applyProtection="1">
      <alignment vertical="top" wrapText="1"/>
    </xf>
    <xf numFmtId="165" fontId="9" fillId="9" borderId="0" xfId="0" applyNumberFormat="1" applyFont="1" applyFill="1" applyBorder="1" applyAlignment="1" applyProtection="1">
      <alignment vertical="top" wrapText="1"/>
    </xf>
    <xf numFmtId="1" fontId="9" fillId="9" borderId="0" xfId="0" applyNumberFormat="1" applyFont="1" applyFill="1" applyBorder="1" applyAlignment="1" applyProtection="1">
      <alignment vertical="top" wrapText="1"/>
    </xf>
    <xf numFmtId="0" fontId="9" fillId="8" borderId="0" xfId="0" applyFont="1" applyFill="1" applyBorder="1" applyAlignment="1" applyProtection="1">
      <alignment vertical="top" wrapText="1"/>
    </xf>
    <xf numFmtId="164" fontId="9" fillId="8" borderId="0" xfId="0" applyNumberFormat="1" applyFont="1" applyFill="1" applyBorder="1" applyAlignment="1" applyProtection="1">
      <alignment vertical="top" wrapText="1"/>
    </xf>
    <xf numFmtId="0" fontId="9" fillId="8" borderId="0" xfId="0" applyNumberFormat="1" applyFont="1" applyFill="1" applyBorder="1" applyAlignment="1" applyProtection="1">
      <alignment vertical="top" wrapText="1"/>
    </xf>
    <xf numFmtId="2" fontId="9" fillId="8" borderId="0" xfId="0" applyNumberFormat="1" applyFont="1" applyFill="1" applyBorder="1" applyAlignment="1" applyProtection="1">
      <alignment vertical="top" wrapText="1"/>
    </xf>
    <xf numFmtId="165" fontId="9" fillId="8" borderId="0" xfId="0" applyNumberFormat="1" applyFont="1" applyFill="1" applyBorder="1" applyAlignment="1" applyProtection="1">
      <alignment vertical="top" wrapText="1"/>
    </xf>
    <xf numFmtId="1" fontId="9" fillId="8" borderId="0" xfId="0" applyNumberFormat="1" applyFont="1" applyFill="1" applyBorder="1" applyAlignment="1" applyProtection="1">
      <alignment vertical="top" wrapText="1"/>
    </xf>
    <xf numFmtId="0" fontId="9" fillId="7" borderId="0" xfId="0" applyFont="1" applyFill="1" applyBorder="1" applyAlignment="1" applyProtection="1">
      <alignment vertical="top" wrapText="1"/>
    </xf>
    <xf numFmtId="164" fontId="9" fillId="7" borderId="0" xfId="0" applyNumberFormat="1" applyFont="1" applyFill="1" applyBorder="1" applyAlignment="1" applyProtection="1">
      <alignment vertical="top" wrapText="1"/>
    </xf>
    <xf numFmtId="0" fontId="9" fillId="7" borderId="0" xfId="0" applyNumberFormat="1" applyFont="1" applyFill="1" applyBorder="1" applyAlignment="1" applyProtection="1">
      <alignment vertical="top" wrapText="1"/>
    </xf>
    <xf numFmtId="2" fontId="9" fillId="7" borderId="0" xfId="0" applyNumberFormat="1" applyFont="1" applyFill="1" applyBorder="1" applyAlignment="1" applyProtection="1">
      <alignment vertical="top" wrapText="1"/>
    </xf>
    <xf numFmtId="165" fontId="9" fillId="7" borderId="0" xfId="0" applyNumberFormat="1" applyFont="1" applyFill="1" applyBorder="1" applyAlignment="1" applyProtection="1">
      <alignment vertical="top" wrapText="1"/>
    </xf>
    <xf numFmtId="1" fontId="9" fillId="7" borderId="0" xfId="0" applyNumberFormat="1" applyFont="1" applyFill="1" applyBorder="1" applyAlignment="1" applyProtection="1">
      <alignment vertical="top" wrapText="1"/>
    </xf>
    <xf numFmtId="0" fontId="2" fillId="2" borderId="0" xfId="0" applyFont="1" applyFill="1" applyBorder="1" applyAlignment="1" applyProtection="1">
      <alignment horizontal="left" vertical="top"/>
      <protection locked="0"/>
    </xf>
    <xf numFmtId="0" fontId="4" fillId="6" borderId="0" xfId="0" applyFont="1" applyFill="1" applyProtection="1"/>
    <xf numFmtId="0" fontId="5" fillId="6" borderId="2" xfId="0" applyFont="1" applyFill="1" applyBorder="1" applyAlignment="1" applyProtection="1">
      <alignment horizontal="center" wrapText="1"/>
    </xf>
    <xf numFmtId="0" fontId="4" fillId="2" borderId="0" xfId="0" applyFont="1" applyFill="1" applyBorder="1" applyProtection="1">
      <protection locked="0"/>
    </xf>
    <xf numFmtId="0" fontId="2" fillId="2" borderId="0" xfId="0" applyFont="1" applyFill="1" applyBorder="1" applyAlignment="1" applyProtection="1">
      <alignment vertical="top" wrapText="1"/>
      <protection locked="0"/>
    </xf>
    <xf numFmtId="0" fontId="2" fillId="0" borderId="0" xfId="0" applyFont="1" applyProtection="1">
      <protection locked="0"/>
    </xf>
    <xf numFmtId="0" fontId="2" fillId="2" borderId="0" xfId="0" applyFont="1" applyFill="1" applyBorder="1" applyAlignment="1" applyProtection="1">
      <alignment vertical="center"/>
    </xf>
    <xf numFmtId="0" fontId="2" fillId="3" borderId="0" xfId="0" applyFont="1" applyFill="1" applyBorder="1" applyAlignment="1" applyProtection="1">
      <alignment vertical="center"/>
    </xf>
    <xf numFmtId="0" fontId="9" fillId="9" borderId="0" xfId="0" applyFont="1" applyFill="1" applyBorder="1" applyAlignment="1" applyProtection="1">
      <alignment vertical="center" wrapText="1"/>
    </xf>
    <xf numFmtId="0" fontId="9" fillId="8" borderId="0" xfId="0" applyFont="1" applyFill="1" applyBorder="1" applyAlignment="1" applyProtection="1">
      <alignment vertical="center" wrapText="1"/>
    </xf>
    <xf numFmtId="0" fontId="9" fillId="7" borderId="0" xfId="0" applyFont="1" applyFill="1" applyBorder="1" applyAlignment="1" applyProtection="1">
      <alignment vertical="center" wrapText="1"/>
    </xf>
    <xf numFmtId="0" fontId="4" fillId="10" borderId="0" xfId="0" applyFont="1" applyFill="1" applyProtection="1"/>
    <xf numFmtId="0" fontId="5" fillId="10" borderId="2" xfId="0" applyFont="1" applyFill="1" applyBorder="1" applyAlignment="1" applyProtection="1">
      <alignment horizontal="center" wrapText="1"/>
    </xf>
    <xf numFmtId="0" fontId="4" fillId="10" borderId="1" xfId="0" applyFont="1" applyFill="1" applyBorder="1" applyProtection="1">
      <protection locked="0"/>
    </xf>
    <xf numFmtId="0" fontId="5" fillId="6" borderId="5" xfId="0" applyFont="1" applyFill="1" applyBorder="1" applyAlignment="1" applyProtection="1">
      <alignment wrapText="1"/>
    </xf>
    <xf numFmtId="0" fontId="5" fillId="6" borderId="2" xfId="0" applyFont="1" applyFill="1" applyBorder="1" applyAlignment="1" applyProtection="1">
      <alignment wrapText="1"/>
    </xf>
    <xf numFmtId="49" fontId="2" fillId="2" borderId="0" xfId="0" applyNumberFormat="1" applyFont="1" applyFill="1" applyBorder="1" applyAlignment="1" applyProtection="1">
      <alignment vertical="top"/>
    </xf>
    <xf numFmtId="49" fontId="2" fillId="3" borderId="0" xfId="0" applyNumberFormat="1" applyFont="1" applyFill="1" applyBorder="1" applyAlignment="1" applyProtection="1">
      <alignment vertical="top"/>
    </xf>
    <xf numFmtId="49" fontId="9" fillId="9" borderId="0" xfId="0" applyNumberFormat="1" applyFont="1" applyFill="1" applyBorder="1" applyAlignment="1" applyProtection="1">
      <alignment vertical="top" wrapText="1"/>
    </xf>
    <xf numFmtId="49" fontId="9" fillId="8" borderId="0" xfId="0" applyNumberFormat="1" applyFont="1" applyFill="1" applyBorder="1" applyAlignment="1" applyProtection="1">
      <alignment vertical="top" wrapText="1"/>
    </xf>
    <xf numFmtId="49" fontId="9" fillId="7" borderId="0" xfId="0" applyNumberFormat="1" applyFont="1" applyFill="1" applyBorder="1" applyAlignment="1" applyProtection="1">
      <alignment vertical="top" wrapText="1"/>
    </xf>
    <xf numFmtId="0" fontId="4" fillId="10" borderId="1" xfId="0" applyFont="1" applyFill="1" applyBorder="1" applyProtection="1"/>
    <xf numFmtId="0" fontId="9" fillId="5" borderId="0" xfId="0" applyFont="1" applyFill="1" applyBorder="1" applyAlignment="1" applyProtection="1">
      <alignment vertical="top" wrapText="1"/>
    </xf>
    <xf numFmtId="49" fontId="9" fillId="5" borderId="0" xfId="0" applyNumberFormat="1" applyFont="1" applyFill="1" applyBorder="1" applyAlignment="1" applyProtection="1">
      <alignment vertical="top" wrapText="1"/>
    </xf>
    <xf numFmtId="164" fontId="9" fillId="5" borderId="0" xfId="0" applyNumberFormat="1" applyFont="1" applyFill="1" applyBorder="1" applyAlignment="1" applyProtection="1">
      <alignment vertical="top" wrapText="1"/>
    </xf>
    <xf numFmtId="0" fontId="9" fillId="5" borderId="0" xfId="0" applyNumberFormat="1" applyFont="1" applyFill="1" applyBorder="1" applyAlignment="1" applyProtection="1">
      <alignment vertical="top" wrapText="1"/>
    </xf>
    <xf numFmtId="2" fontId="9" fillId="5" borderId="0" xfId="0" applyNumberFormat="1" applyFont="1" applyFill="1" applyBorder="1" applyAlignment="1" applyProtection="1">
      <alignment vertical="top" wrapText="1"/>
    </xf>
    <xf numFmtId="165" fontId="9" fillId="5" borderId="0" xfId="0" applyNumberFormat="1" applyFont="1" applyFill="1" applyBorder="1" applyAlignment="1" applyProtection="1">
      <alignment vertical="top" wrapText="1"/>
    </xf>
    <xf numFmtId="1" fontId="9" fillId="5" borderId="0" xfId="0" applyNumberFormat="1" applyFont="1" applyFill="1" applyBorder="1" applyAlignment="1" applyProtection="1">
      <alignment vertical="top" wrapText="1"/>
    </xf>
    <xf numFmtId="0" fontId="9" fillId="5" borderId="0" xfId="0" applyFont="1" applyFill="1" applyBorder="1" applyAlignment="1" applyProtection="1">
      <alignment vertical="center" wrapText="1"/>
    </xf>
    <xf numFmtId="0" fontId="2" fillId="0" borderId="6" xfId="0" applyFont="1" applyBorder="1" applyAlignment="1" applyProtection="1">
      <alignment horizontal="center" vertical="center" wrapText="1"/>
      <protection locked="0"/>
    </xf>
    <xf numFmtId="0" fontId="2" fillId="0" borderId="6" xfId="0" applyFont="1" applyBorder="1" applyAlignment="1" applyProtection="1">
      <alignment horizontal="left" vertical="top" wrapText="1"/>
      <protection locked="0"/>
    </xf>
    <xf numFmtId="49" fontId="2" fillId="0" borderId="6" xfId="0" applyNumberFormat="1" applyFont="1" applyBorder="1" applyAlignment="1" applyProtection="1">
      <alignment horizontal="left" vertical="top" wrapText="1"/>
      <protection locked="0"/>
    </xf>
    <xf numFmtId="0" fontId="2" fillId="0" borderId="6" xfId="0" applyNumberFormat="1" applyFont="1" applyBorder="1" applyAlignment="1" applyProtection="1">
      <alignment horizontal="left" vertical="top" wrapText="1"/>
      <protection locked="0"/>
    </xf>
    <xf numFmtId="2" fontId="2" fillId="0" borderId="6" xfId="0" applyNumberFormat="1" applyFont="1" applyBorder="1" applyAlignment="1" applyProtection="1">
      <alignment horizontal="left" vertical="top" wrapText="1"/>
      <protection locked="0"/>
    </xf>
    <xf numFmtId="165" fontId="2" fillId="0" borderId="6" xfId="0" applyNumberFormat="1" applyFont="1" applyBorder="1" applyAlignment="1" applyProtection="1">
      <alignment horizontal="left" vertical="top" wrapText="1"/>
      <protection locked="0"/>
    </xf>
    <xf numFmtId="1" fontId="2" fillId="0" borderId="6" xfId="0" applyNumberFormat="1" applyFont="1" applyBorder="1" applyAlignment="1" applyProtection="1">
      <alignment horizontal="left" vertical="top" wrapText="1"/>
      <protection locked="0"/>
    </xf>
    <xf numFmtId="49" fontId="2" fillId="0" borderId="6" xfId="0" applyNumberFormat="1" applyFont="1" applyBorder="1" applyAlignment="1" applyProtection="1">
      <alignment horizontal="center" vertical="center" wrapText="1"/>
      <protection locked="0"/>
    </xf>
    <xf numFmtId="49" fontId="2" fillId="0" borderId="6" xfId="0" applyNumberFormat="1" applyFont="1" applyBorder="1" applyAlignment="1" applyProtection="1">
      <alignment horizontal="left" vertical="center" wrapText="1"/>
      <protection locked="0"/>
    </xf>
    <xf numFmtId="49" fontId="2" fillId="0" borderId="0" xfId="0" applyNumberFormat="1" applyFont="1" applyFill="1" applyBorder="1" applyAlignment="1" applyProtection="1">
      <alignment vertical="top"/>
    </xf>
    <xf numFmtId="0" fontId="2" fillId="0" borderId="0" xfId="0" applyFont="1" applyFill="1" applyBorder="1" applyAlignment="1" applyProtection="1">
      <alignment vertical="top"/>
    </xf>
    <xf numFmtId="0" fontId="10" fillId="0" borderId="0" xfId="0" applyFont="1" applyFill="1" applyBorder="1" applyAlignment="1" applyProtection="1">
      <alignment vertical="top"/>
    </xf>
    <xf numFmtId="0" fontId="10" fillId="0" borderId="0" xfId="0" applyFont="1" applyFill="1" applyBorder="1" applyAlignment="1" applyProtection="1"/>
    <xf numFmtId="164" fontId="2" fillId="0" borderId="6" xfId="0" applyNumberFormat="1" applyFont="1" applyBorder="1" applyAlignment="1" applyProtection="1">
      <alignment horizontal="right" vertical="top" wrapText="1"/>
      <protection locked="0"/>
    </xf>
    <xf numFmtId="0" fontId="2" fillId="3" borderId="0" xfId="0" applyFont="1" applyFill="1" applyBorder="1" applyAlignment="1" applyProtection="1">
      <alignment horizontal="center" vertical="center"/>
    </xf>
    <xf numFmtId="0" fontId="9" fillId="9" borderId="0" xfId="0" applyFont="1" applyFill="1" applyBorder="1" applyAlignment="1" applyProtection="1">
      <alignment horizontal="center" vertical="center" wrapText="1"/>
    </xf>
    <xf numFmtId="0" fontId="9" fillId="8" borderId="0" xfId="0" applyFont="1" applyFill="1" applyBorder="1" applyAlignment="1" applyProtection="1">
      <alignment horizontal="center" vertical="center" wrapText="1"/>
    </xf>
    <xf numFmtId="0" fontId="9" fillId="5"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4" fillId="11" borderId="1" xfId="0" applyFont="1" applyFill="1" applyBorder="1" applyProtection="1">
      <protection locked="0"/>
    </xf>
    <xf numFmtId="0" fontId="10" fillId="2" borderId="0" xfId="0" applyFont="1" applyFill="1" applyBorder="1" applyAlignment="1" applyProtection="1">
      <alignment vertical="top"/>
    </xf>
    <xf numFmtId="0" fontId="11" fillId="2" borderId="0" xfId="0" applyFont="1" applyFill="1" applyBorder="1" applyAlignment="1" applyProtection="1">
      <alignment vertical="top"/>
    </xf>
    <xf numFmtId="0" fontId="4" fillId="6" borderId="1" xfId="0" applyFont="1" applyFill="1" applyBorder="1" applyProtection="1"/>
    <xf numFmtId="0" fontId="12" fillId="2" borderId="0" xfId="0" applyFont="1" applyFill="1" applyBorder="1" applyProtection="1"/>
    <xf numFmtId="0" fontId="13" fillId="2" borderId="0" xfId="0" applyFont="1" applyFill="1" applyBorder="1" applyProtection="1"/>
    <xf numFmtId="0" fontId="2" fillId="12" borderId="0" xfId="0" applyFont="1" applyFill="1" applyBorder="1" applyAlignment="1" applyProtection="1">
      <alignment vertical="top"/>
      <protection locked="0"/>
    </xf>
    <xf numFmtId="0" fontId="2" fillId="12" borderId="0" xfId="0" applyNumberFormat="1" applyFont="1" applyFill="1" applyBorder="1" applyAlignment="1" applyProtection="1">
      <alignment vertical="top"/>
      <protection locked="0"/>
    </xf>
    <xf numFmtId="164" fontId="2" fillId="12" borderId="0" xfId="0" applyNumberFormat="1" applyFont="1" applyFill="1" applyBorder="1" applyAlignment="1" applyProtection="1">
      <alignment vertical="top"/>
      <protection locked="0"/>
    </xf>
    <xf numFmtId="2" fontId="2" fillId="12" borderId="0" xfId="0" applyNumberFormat="1" applyFont="1" applyFill="1" applyBorder="1" applyAlignment="1" applyProtection="1">
      <alignment vertical="top"/>
      <protection locked="0"/>
    </xf>
    <xf numFmtId="165" fontId="2" fillId="12" borderId="0" xfId="0" applyNumberFormat="1" applyFont="1" applyFill="1" applyBorder="1" applyAlignment="1" applyProtection="1">
      <alignment vertical="top"/>
      <protection locked="0"/>
    </xf>
    <xf numFmtId="1" fontId="2" fillId="12" borderId="0" xfId="0" applyNumberFormat="1" applyFont="1" applyFill="1" applyBorder="1" applyAlignment="1" applyProtection="1">
      <alignment vertical="top"/>
      <protection locked="0"/>
    </xf>
    <xf numFmtId="0" fontId="2" fillId="12" borderId="0" xfId="0" applyFont="1" applyFill="1" applyBorder="1" applyAlignment="1" applyProtection="1">
      <alignment horizontal="center" vertical="center"/>
      <protection locked="0"/>
    </xf>
    <xf numFmtId="0" fontId="2" fillId="12" borderId="0" xfId="0" applyFont="1" applyFill="1" applyBorder="1" applyAlignment="1" applyProtection="1">
      <alignment vertical="center"/>
      <protection locked="0"/>
    </xf>
    <xf numFmtId="49" fontId="2" fillId="12" borderId="0" xfId="0" applyNumberFormat="1" applyFont="1" applyFill="1" applyBorder="1" applyAlignment="1" applyProtection="1">
      <alignment vertical="top"/>
      <protection locked="0"/>
    </xf>
    <xf numFmtId="0" fontId="2" fillId="0" borderId="1" xfId="0" applyNumberFormat="1" applyFont="1" applyBorder="1" applyAlignment="1" applyProtection="1">
      <alignment horizontal="left" vertical="top" wrapText="1"/>
      <protection locked="0"/>
    </xf>
    <xf numFmtId="49" fontId="2" fillId="0" borderId="6" xfId="0" applyNumberFormat="1" applyFont="1" applyBorder="1" applyAlignment="1" applyProtection="1">
      <alignment horizontal="center" vertical="top" wrapText="1"/>
      <protection locked="0"/>
    </xf>
    <xf numFmtId="2" fontId="2" fillId="0" borderId="7" xfId="0" applyNumberFormat="1" applyFont="1" applyBorder="1" applyAlignment="1" applyProtection="1">
      <alignment horizontal="left" vertical="top" wrapText="1"/>
      <protection locked="0"/>
    </xf>
    <xf numFmtId="0" fontId="2" fillId="0" borderId="7" xfId="0" applyNumberFormat="1" applyFont="1" applyBorder="1" applyAlignment="1" applyProtection="1">
      <alignment horizontal="left" vertical="top" wrapText="1"/>
      <protection locked="0"/>
    </xf>
    <xf numFmtId="49" fontId="2" fillId="0" borderId="7" xfId="0" applyNumberFormat="1" applyFont="1" applyBorder="1" applyAlignment="1" applyProtection="1">
      <alignment horizontal="left" vertical="top" wrapText="1"/>
      <protection locked="0"/>
    </xf>
    <xf numFmtId="0" fontId="2" fillId="0" borderId="8" xfId="0" applyFont="1" applyBorder="1" applyAlignment="1" applyProtection="1">
      <alignment horizontal="left" vertical="top" wrapText="1"/>
      <protection locked="0"/>
    </xf>
    <xf numFmtId="0" fontId="2" fillId="0" borderId="8" xfId="0" applyFont="1" applyBorder="1" applyAlignment="1" applyProtection="1">
      <alignment horizontal="center" vertical="center" wrapText="1"/>
      <protection locked="0"/>
    </xf>
    <xf numFmtId="49" fontId="2" fillId="0" borderId="8" xfId="0" applyNumberFormat="1" applyFont="1" applyBorder="1" applyAlignment="1" applyProtection="1">
      <alignment horizontal="left" vertical="top" wrapText="1"/>
      <protection locked="0"/>
    </xf>
    <xf numFmtId="164" fontId="2" fillId="0" borderId="8" xfId="0" applyNumberFormat="1" applyFont="1" applyBorder="1" applyAlignment="1" applyProtection="1">
      <alignment horizontal="right" vertical="top" wrapText="1"/>
      <protection locked="0"/>
    </xf>
    <xf numFmtId="0" fontId="2" fillId="0" borderId="8" xfId="0" applyNumberFormat="1" applyFont="1" applyBorder="1" applyAlignment="1" applyProtection="1">
      <alignment horizontal="left" vertical="top" wrapText="1"/>
      <protection locked="0"/>
    </xf>
    <xf numFmtId="49" fontId="2" fillId="0" borderId="9" xfId="0" applyNumberFormat="1" applyFont="1" applyBorder="1" applyAlignment="1" applyProtection="1">
      <alignment horizontal="left" vertical="top" wrapText="1"/>
      <protection locked="0"/>
    </xf>
    <xf numFmtId="0" fontId="14" fillId="2" borderId="0" xfId="0" applyFont="1" applyFill="1" applyBorder="1" applyAlignment="1" applyProtection="1">
      <alignment horizontal="left" vertical="top"/>
    </xf>
    <xf numFmtId="0" fontId="7" fillId="2" borderId="0" xfId="0" applyFont="1" applyFill="1" applyBorder="1" applyAlignment="1" applyProtection="1">
      <alignment vertical="top"/>
    </xf>
    <xf numFmtId="49" fontId="7" fillId="2" borderId="0" xfId="0" applyNumberFormat="1" applyFont="1" applyFill="1" applyBorder="1" applyAlignment="1" applyProtection="1">
      <alignment vertical="top"/>
    </xf>
    <xf numFmtId="164" fontId="7" fillId="2" borderId="0" xfId="0" applyNumberFormat="1" applyFont="1" applyFill="1" applyBorder="1" applyAlignment="1" applyProtection="1">
      <alignment vertical="top"/>
    </xf>
    <xf numFmtId="0" fontId="7" fillId="2" borderId="0" xfId="0" applyNumberFormat="1" applyFont="1" applyFill="1" applyBorder="1" applyAlignment="1" applyProtection="1">
      <alignment vertical="top"/>
    </xf>
    <xf numFmtId="2" fontId="7" fillId="2" borderId="0" xfId="0" applyNumberFormat="1" applyFont="1" applyFill="1" applyBorder="1" applyAlignment="1" applyProtection="1">
      <alignment vertical="top"/>
    </xf>
    <xf numFmtId="165" fontId="7" fillId="2" borderId="0" xfId="0" applyNumberFormat="1" applyFont="1" applyFill="1" applyBorder="1" applyAlignment="1" applyProtection="1">
      <alignment vertical="top"/>
    </xf>
    <xf numFmtId="1" fontId="7" fillId="2" borderId="0" xfId="0" applyNumberFormat="1" applyFont="1" applyFill="1" applyBorder="1" applyAlignment="1" applyProtection="1">
      <alignment vertical="top"/>
    </xf>
    <xf numFmtId="0" fontId="7" fillId="2" borderId="0" xfId="0" applyFont="1" applyFill="1" applyBorder="1" applyAlignment="1" applyProtection="1">
      <alignment vertical="center"/>
    </xf>
    <xf numFmtId="0" fontId="7" fillId="14" borderId="0" xfId="0" applyFont="1" applyFill="1" applyBorder="1" applyAlignment="1" applyProtection="1">
      <alignment vertical="top"/>
    </xf>
    <xf numFmtId="0" fontId="7" fillId="14" borderId="0" xfId="0" applyNumberFormat="1" applyFont="1" applyFill="1" applyBorder="1" applyAlignment="1" applyProtection="1">
      <alignment horizontal="left" vertical="top" wrapText="1"/>
    </xf>
    <xf numFmtId="164" fontId="7" fillId="14" borderId="0" xfId="0" applyNumberFormat="1" applyFont="1" applyFill="1" applyBorder="1" applyAlignment="1" applyProtection="1">
      <alignment horizontal="left" vertical="top" wrapText="1"/>
    </xf>
    <xf numFmtId="2" fontId="7" fillId="14" borderId="0" xfId="0" applyNumberFormat="1" applyFont="1" applyFill="1" applyBorder="1" applyAlignment="1" applyProtection="1">
      <alignment horizontal="left" vertical="top" wrapText="1"/>
    </xf>
    <xf numFmtId="165" fontId="7" fillId="14" borderId="0" xfId="0" applyNumberFormat="1" applyFont="1" applyFill="1" applyBorder="1" applyAlignment="1" applyProtection="1">
      <alignment horizontal="left" vertical="top" wrapText="1"/>
    </xf>
    <xf numFmtId="1" fontId="7" fillId="14" borderId="0" xfId="0" applyNumberFormat="1" applyFont="1" applyFill="1" applyBorder="1" applyAlignment="1" applyProtection="1">
      <alignment horizontal="left" vertical="top" wrapText="1"/>
    </xf>
    <xf numFmtId="49" fontId="7" fillId="14" borderId="0" xfId="0" applyNumberFormat="1" applyFont="1" applyFill="1" applyBorder="1" applyAlignment="1" applyProtection="1">
      <alignment horizontal="left" vertical="top" wrapText="1"/>
    </xf>
    <xf numFmtId="0" fontId="7" fillId="14" borderId="4" xfId="0" applyFont="1" applyFill="1" applyBorder="1" applyAlignment="1" applyProtection="1">
      <alignment vertical="top"/>
    </xf>
    <xf numFmtId="0" fontId="16" fillId="14" borderId="2" xfId="0" applyFont="1" applyFill="1" applyBorder="1" applyAlignment="1" applyProtection="1">
      <alignment horizontal="center" wrapText="1"/>
    </xf>
    <xf numFmtId="0" fontId="4" fillId="11" borderId="3" xfId="0" applyFont="1" applyFill="1" applyBorder="1" applyProtection="1">
      <protection locked="0"/>
    </xf>
    <xf numFmtId="0" fontId="4" fillId="13" borderId="0" xfId="0" applyFont="1" applyFill="1" applyProtection="1"/>
    <xf numFmtId="0" fontId="5" fillId="13" borderId="2" xfId="0" applyFont="1" applyFill="1" applyBorder="1" applyAlignment="1" applyProtection="1">
      <alignment horizontal="center" wrapText="1"/>
    </xf>
    <xf numFmtId="0" fontId="4" fillId="13" borderId="1" xfId="0" applyFont="1" applyFill="1" applyBorder="1" applyProtection="1">
      <protection locked="0"/>
    </xf>
    <xf numFmtId="0" fontId="16" fillId="14" borderId="2" xfId="0" applyFont="1" applyFill="1" applyBorder="1" applyAlignment="1" applyProtection="1">
      <alignment horizontal="center"/>
    </xf>
    <xf numFmtId="0" fontId="7" fillId="15" borderId="0" xfId="0" applyNumberFormat="1" applyFont="1" applyFill="1" applyBorder="1" applyAlignment="1" applyProtection="1">
      <alignment horizontal="left" vertical="top" wrapText="1"/>
    </xf>
    <xf numFmtId="164" fontId="7" fillId="15" borderId="0" xfId="0" applyNumberFormat="1" applyFont="1" applyFill="1" applyBorder="1" applyAlignment="1" applyProtection="1">
      <alignment horizontal="left" vertical="top" wrapText="1"/>
    </xf>
    <xf numFmtId="0" fontId="2" fillId="0" borderId="0" xfId="0" applyNumberFormat="1" applyFont="1" applyFill="1" applyBorder="1" applyAlignment="1" applyProtection="1">
      <alignment vertical="top"/>
    </xf>
    <xf numFmtId="0" fontId="7" fillId="0" borderId="0" xfId="0" applyNumberFormat="1" applyFont="1" applyFill="1" applyBorder="1" applyAlignment="1" applyProtection="1">
      <alignment vertical="top"/>
    </xf>
    <xf numFmtId="0" fontId="2" fillId="16" borderId="0" xfId="0" applyNumberFormat="1" applyFont="1" applyFill="1" applyBorder="1" applyAlignment="1" applyProtection="1">
      <alignment vertical="top"/>
    </xf>
    <xf numFmtId="0" fontId="2" fillId="16" borderId="0" xfId="0" applyNumberFormat="1" applyFont="1" applyFill="1" applyBorder="1" applyAlignment="1" applyProtection="1">
      <alignment vertical="top"/>
      <protection locked="0"/>
    </xf>
    <xf numFmtId="0" fontId="9" fillId="16" borderId="0" xfId="0" applyNumberFormat="1" applyFont="1" applyFill="1" applyBorder="1" applyAlignment="1" applyProtection="1">
      <alignment vertical="top" wrapText="1"/>
    </xf>
    <xf numFmtId="0" fontId="7" fillId="16" borderId="0" xfId="0" applyNumberFormat="1" applyFont="1" applyFill="1" applyBorder="1" applyAlignment="1" applyProtection="1">
      <alignment horizontal="left" vertical="top" wrapText="1"/>
    </xf>
    <xf numFmtId="49" fontId="2" fillId="16" borderId="6" xfId="0" applyNumberFormat="1" applyFont="1" applyFill="1" applyBorder="1" applyAlignment="1" applyProtection="1">
      <alignment horizontal="center" vertical="top" wrapText="1"/>
      <protection locked="0"/>
    </xf>
    <xf numFmtId="49" fontId="2" fillId="16" borderId="6" xfId="0" applyNumberFormat="1" applyFont="1" applyFill="1" applyBorder="1" applyAlignment="1" applyProtection="1">
      <alignment horizontal="center" vertical="center" wrapText="1"/>
      <protection locked="0"/>
    </xf>
    <xf numFmtId="0" fontId="2" fillId="16" borderId="0" xfId="0" applyFont="1" applyFill="1" applyBorder="1" applyAlignment="1" applyProtection="1">
      <alignment vertical="top"/>
    </xf>
    <xf numFmtId="49" fontId="2" fillId="16" borderId="8" xfId="0" applyNumberFormat="1" applyFont="1" applyFill="1" applyBorder="1" applyAlignment="1" applyProtection="1">
      <alignment horizontal="left" vertical="top" wrapText="1"/>
      <protection locked="0"/>
    </xf>
    <xf numFmtId="49" fontId="2" fillId="16" borderId="6" xfId="0" applyNumberFormat="1" applyFont="1" applyFill="1" applyBorder="1" applyAlignment="1" applyProtection="1">
      <alignment horizontal="left" vertical="top" wrapText="1"/>
      <protection locked="0"/>
    </xf>
    <xf numFmtId="0" fontId="7" fillId="0" borderId="0" xfId="0" applyFont="1" applyFill="1" applyBorder="1" applyAlignment="1" applyProtection="1">
      <alignment vertical="top"/>
    </xf>
    <xf numFmtId="164" fontId="2" fillId="0" borderId="8" xfId="0" applyNumberFormat="1" applyFont="1" applyBorder="1" applyAlignment="1" applyProtection="1">
      <alignment horizontal="left" vertical="top" wrapText="1"/>
      <protection locked="0"/>
    </xf>
    <xf numFmtId="0" fontId="2" fillId="17" borderId="0" xfId="0" applyFont="1" applyFill="1" applyProtection="1">
      <protection locked="0"/>
    </xf>
    <xf numFmtId="0" fontId="2" fillId="2" borderId="0" xfId="0" applyFont="1" applyFill="1" applyBorder="1" applyAlignment="1" applyProtection="1">
      <alignment horizontal="left" vertical="top"/>
    </xf>
    <xf numFmtId="0" fontId="7" fillId="2" borderId="0" xfId="0" applyFont="1" applyFill="1" applyBorder="1" applyAlignment="1" applyProtection="1">
      <alignment horizontal="left" vertical="top"/>
    </xf>
    <xf numFmtId="0" fontId="2" fillId="3" borderId="0" xfId="0" applyFont="1" applyFill="1" applyBorder="1" applyAlignment="1" applyProtection="1">
      <alignment horizontal="left" vertical="top"/>
    </xf>
    <xf numFmtId="0" fontId="2" fillId="12" borderId="0" xfId="0" applyFont="1" applyFill="1" applyBorder="1" applyAlignment="1" applyProtection="1">
      <alignment horizontal="left" vertical="top"/>
      <protection locked="0"/>
    </xf>
    <xf numFmtId="0" fontId="9" fillId="9" borderId="0" xfId="0" applyFont="1" applyFill="1" applyBorder="1" applyAlignment="1" applyProtection="1">
      <alignment horizontal="left" vertical="top" wrapText="1"/>
    </xf>
    <xf numFmtId="0" fontId="9" fillId="8" borderId="0" xfId="0" applyFont="1" applyFill="1" applyBorder="1" applyAlignment="1" applyProtection="1">
      <alignment horizontal="left" vertical="top" wrapText="1"/>
    </xf>
    <xf numFmtId="0" fontId="9" fillId="5" borderId="0" xfId="0" applyFont="1" applyFill="1" applyBorder="1" applyAlignment="1" applyProtection="1">
      <alignment horizontal="left" vertical="top" wrapText="1"/>
    </xf>
    <xf numFmtId="0" fontId="9" fillId="7" borderId="0" xfId="0" applyFont="1" applyFill="1" applyBorder="1" applyAlignment="1" applyProtection="1">
      <alignment horizontal="left" vertical="top" wrapText="1"/>
    </xf>
    <xf numFmtId="0" fontId="2" fillId="0" borderId="6" xfId="0" applyFont="1" applyBorder="1" applyAlignment="1" applyProtection="1">
      <alignment horizontal="center" vertical="center" wrapText="1"/>
      <protection locked="0"/>
    </xf>
    <xf numFmtId="14" fontId="2" fillId="0" borderId="6" xfId="0" applyNumberFormat="1" applyFont="1" applyBorder="1" applyAlignment="1" applyProtection="1">
      <alignment horizontal="left" vertical="top" wrapText="1"/>
      <protection locked="0"/>
    </xf>
    <xf numFmtId="0" fontId="2" fillId="2" borderId="0" xfId="0" applyNumberFormat="1" applyFont="1" applyFill="1" applyBorder="1" applyAlignment="1" applyProtection="1">
      <alignment horizontal="left" vertical="top"/>
    </xf>
    <xf numFmtId="0" fontId="7" fillId="2" borderId="0" xfId="0" applyNumberFormat="1" applyFont="1" applyFill="1" applyBorder="1" applyAlignment="1" applyProtection="1">
      <alignment horizontal="left" vertical="top"/>
    </xf>
    <xf numFmtId="0" fontId="2" fillId="3" borderId="0" xfId="0" applyNumberFormat="1" applyFont="1" applyFill="1" applyBorder="1" applyAlignment="1" applyProtection="1">
      <alignment horizontal="left" vertical="top"/>
    </xf>
    <xf numFmtId="0" fontId="2" fillId="12" borderId="0" xfId="0" applyNumberFormat="1" applyFont="1" applyFill="1" applyBorder="1" applyAlignment="1" applyProtection="1">
      <alignment horizontal="left" vertical="top"/>
      <protection locked="0"/>
    </xf>
    <xf numFmtId="0" fontId="9" fillId="9" borderId="0" xfId="0" applyNumberFormat="1" applyFont="1" applyFill="1" applyBorder="1" applyAlignment="1" applyProtection="1">
      <alignment horizontal="left" vertical="top" wrapText="1"/>
    </xf>
    <xf numFmtId="0" fontId="9" fillId="8" borderId="0" xfId="0" applyNumberFormat="1" applyFont="1" applyFill="1" applyBorder="1" applyAlignment="1" applyProtection="1">
      <alignment horizontal="left" vertical="top" wrapText="1"/>
    </xf>
    <xf numFmtId="0" fontId="9" fillId="5" borderId="0" xfId="0" applyNumberFormat="1" applyFont="1" applyFill="1" applyBorder="1" applyAlignment="1" applyProtection="1">
      <alignment horizontal="left" vertical="top" wrapText="1"/>
    </xf>
    <xf numFmtId="0" fontId="9" fillId="7" borderId="0" xfId="0" applyNumberFormat="1" applyFont="1" applyFill="1" applyBorder="1" applyAlignment="1" applyProtection="1">
      <alignment horizontal="left" vertical="top" wrapText="1"/>
    </xf>
    <xf numFmtId="0" fontId="2" fillId="0" borderId="6" xfId="0" applyNumberFormat="1" applyFont="1" applyBorder="1" applyAlignment="1" applyProtection="1">
      <alignment horizontal="center" vertical="center" wrapText="1"/>
      <protection locked="0"/>
    </xf>
    <xf numFmtId="0" fontId="4" fillId="0" borderId="0" xfId="0" applyFont="1" applyAlignment="1">
      <alignment horizontal="left" vertical="top" wrapText="1"/>
    </xf>
    <xf numFmtId="0" fontId="18" fillId="0" borderId="0" xfId="0" applyFont="1"/>
    <xf numFmtId="0" fontId="8" fillId="6" borderId="0" xfId="0" applyFont="1" applyFill="1" applyAlignment="1" applyProtection="1">
      <alignment horizontal="center" vertical="top" textRotation="255" wrapText="1"/>
    </xf>
    <xf numFmtId="0" fontId="0" fillId="0" borderId="0" xfId="0" applyAlignment="1"/>
    <xf numFmtId="0" fontId="8" fillId="10" borderId="0" xfId="0" applyFont="1" applyFill="1" applyAlignment="1" applyProtection="1">
      <alignment horizontal="center" vertical="top" textRotation="255" wrapText="1"/>
    </xf>
    <xf numFmtId="0" fontId="8" fillId="13" borderId="0" xfId="0" applyFont="1" applyFill="1" applyAlignment="1" applyProtection="1">
      <alignment horizontal="center" vertical="top" textRotation="255" wrapText="1"/>
    </xf>
    <xf numFmtId="0" fontId="5" fillId="6" borderId="4" xfId="0" applyFont="1" applyFill="1" applyBorder="1" applyAlignment="1" applyProtection="1">
      <alignment horizontal="center" wrapText="1"/>
    </xf>
    <xf numFmtId="0" fontId="0" fillId="0" borderId="5" xfId="0" applyBorder="1" applyAlignment="1">
      <alignment horizontal="center" wrapText="1"/>
    </xf>
    <xf numFmtId="0" fontId="19" fillId="2" borderId="0" xfId="0" applyFont="1" applyFill="1" applyBorder="1" applyAlignment="1" applyProtection="1">
      <alignment horizontal="left" vertical="top"/>
    </xf>
  </cellXfs>
  <cellStyles count="1">
    <cellStyle name="Standard" xfId="0" builtinId="0"/>
  </cellStyles>
  <dxfs count="14">
    <dxf>
      <font>
        <color rgb="FFFFFFFF"/>
      </font>
      <fill>
        <patternFill>
          <fgColor indexed="64"/>
          <bgColor rgb="FFC00000"/>
        </patternFill>
      </fill>
      <border>
        <left style="thin">
          <color auto="1"/>
        </left>
        <right style="thin">
          <color auto="1"/>
        </right>
        <top style="thin">
          <color auto="1"/>
        </top>
        <bottom style="thin">
          <color auto="1"/>
        </bottom>
      </border>
    </dxf>
    <dxf>
      <font>
        <color rgb="FFFFFFFF"/>
      </font>
      <fill>
        <patternFill>
          <fgColor indexed="64"/>
          <bgColor rgb="FF672F2B"/>
        </patternFill>
      </fill>
      <border>
        <left style="thin">
          <color auto="1"/>
        </left>
        <right style="thin">
          <color auto="1"/>
        </right>
        <top style="thin">
          <color auto="1"/>
        </top>
        <bottom style="thin">
          <color auto="1"/>
        </bottom>
      </border>
    </dxf>
    <dxf>
      <font>
        <color rgb="FFFFFFFF" tint="-0.24994659260841701"/>
      </font>
      <fill>
        <patternFill patternType="solid">
          <fgColor indexed="64"/>
          <bgColor indexed="65" tint="-4.9989318521683403E-2"/>
        </patternFill>
      </fill>
      <border>
        <left style="thin">
          <color auto="1"/>
        </left>
        <right style="thin">
          <color auto="1"/>
        </right>
        <top style="thin">
          <color auto="1"/>
        </top>
        <bottom style="thin">
          <color auto="1"/>
        </bottom>
      </border>
    </dxf>
    <dxf>
      <fill>
        <patternFill>
          <fgColor indexed="64"/>
          <bgColor rgb="FFB8F486"/>
        </patternFill>
      </fill>
      <border>
        <left style="thin">
          <color auto="1"/>
        </left>
        <right style="thin">
          <color auto="1"/>
        </right>
        <top style="thin">
          <color auto="1"/>
        </top>
        <bottom style="thin">
          <color auto="1"/>
        </bottom>
      </border>
    </dxf>
    <dxf>
      <fill>
        <patternFill>
          <fgColor indexed="64"/>
          <bgColor rgb="FF63D114"/>
        </patternFill>
      </fill>
      <border>
        <left style="thin">
          <color auto="1"/>
        </left>
        <right style="thin">
          <color auto="1"/>
        </right>
        <top style="thin">
          <color auto="1"/>
        </top>
        <bottom style="thin">
          <color auto="1"/>
        </bottom>
      </border>
    </dxf>
    <dxf>
      <fill>
        <patternFill>
          <fgColor indexed="64"/>
          <bgColor rgb="FF80EA2E"/>
        </patternFill>
      </fill>
      <border>
        <left style="thin">
          <color auto="1"/>
        </left>
        <right style="thin">
          <color auto="1"/>
        </right>
        <top style="thin">
          <color auto="1"/>
        </top>
        <bottom style="thin">
          <color auto="1"/>
        </bottom>
      </border>
    </dxf>
    <dxf>
      <font>
        <b/>
        <i/>
      </font>
      <fill>
        <patternFill patternType="none">
          <fgColor indexed="64"/>
          <bgColor indexed="65"/>
        </patternFill>
      </fill>
      <border>
        <left style="thin">
          <color auto="1"/>
        </left>
        <right style="thin">
          <color auto="1"/>
        </right>
        <top style="thin">
          <color auto="1"/>
        </top>
        <bottom style="thin">
          <color auto="1"/>
        </bottom>
      </border>
    </dxf>
    <dxf>
      <font>
        <color rgb="FFFFFFFF"/>
      </font>
      <fill>
        <patternFill>
          <fgColor indexed="64"/>
          <bgColor rgb="FFC00000"/>
        </patternFill>
      </fill>
      <border>
        <left style="thin">
          <color auto="1"/>
        </left>
        <right style="thin">
          <color auto="1"/>
        </right>
        <top style="thin">
          <color auto="1"/>
        </top>
        <bottom style="thin">
          <color auto="1"/>
        </bottom>
      </border>
    </dxf>
    <dxf>
      <font>
        <color rgb="FFFFFFFF"/>
      </font>
      <fill>
        <patternFill>
          <fgColor indexed="64"/>
          <bgColor rgb="FF672F2B"/>
        </patternFill>
      </fill>
      <border>
        <left style="thin">
          <color auto="1"/>
        </left>
        <right style="thin">
          <color auto="1"/>
        </right>
        <top style="thin">
          <color auto="1"/>
        </top>
        <bottom style="thin">
          <color auto="1"/>
        </bottom>
      </border>
    </dxf>
    <dxf>
      <font>
        <color rgb="FFFFFFFF" tint="-0.24994659260841701"/>
      </font>
      <fill>
        <patternFill patternType="solid">
          <fgColor indexed="64"/>
          <bgColor indexed="65" tint="-4.9989318521683403E-2"/>
        </patternFill>
      </fill>
      <border>
        <left style="thin">
          <color auto="1"/>
        </left>
        <right style="thin">
          <color auto="1"/>
        </right>
        <top style="thin">
          <color auto="1"/>
        </top>
        <bottom style="thin">
          <color auto="1"/>
        </bottom>
      </border>
    </dxf>
    <dxf>
      <fill>
        <patternFill>
          <fgColor indexed="64"/>
          <bgColor rgb="FFB8F486"/>
        </patternFill>
      </fill>
      <border>
        <left style="thin">
          <color auto="1"/>
        </left>
        <right style="thin">
          <color auto="1"/>
        </right>
        <top style="thin">
          <color auto="1"/>
        </top>
        <bottom style="thin">
          <color auto="1"/>
        </bottom>
      </border>
    </dxf>
    <dxf>
      <fill>
        <patternFill>
          <fgColor indexed="64"/>
          <bgColor rgb="FF63D114"/>
        </patternFill>
      </fill>
      <border>
        <left style="thin">
          <color auto="1"/>
        </left>
        <right style="thin">
          <color auto="1"/>
        </right>
        <top style="thin">
          <color auto="1"/>
        </top>
        <bottom style="thin">
          <color auto="1"/>
        </bottom>
      </border>
    </dxf>
    <dxf>
      <fill>
        <patternFill>
          <fgColor indexed="64"/>
          <bgColor rgb="FF80EA2E"/>
        </patternFill>
      </fill>
      <border>
        <left style="thin">
          <color auto="1"/>
        </left>
        <right style="thin">
          <color auto="1"/>
        </right>
        <top style="thin">
          <color auto="1"/>
        </top>
        <bottom style="thin">
          <color auto="1"/>
        </bottom>
      </border>
    </dxf>
    <dxf>
      <font>
        <b/>
        <i/>
      </font>
      <fill>
        <patternFill patternType="none">
          <fgColor indexed="64"/>
          <bgColor indexed="65"/>
        </patternFill>
      </fill>
      <border>
        <left style="thin">
          <color auto="1"/>
        </left>
        <right style="thin">
          <color auto="1"/>
        </right>
        <top style="thin">
          <color auto="1"/>
        </top>
        <bottom style="thin">
          <color auto="1"/>
        </bottom>
      </border>
    </dxf>
  </dxfs>
  <tableStyles count="0" defaultTableStyle="TableStyleMedium9" defaultPivotStyle="PivotStyleLight16"/>
  <colors>
    <mruColors>
      <color rgb="FF248837"/>
      <color rgb="FF1B6729"/>
      <color rgb="FFC0DDF2"/>
      <color rgb="FFF1F1F2"/>
      <color rgb="FFB80000"/>
      <color rgb="FF9DCBEA"/>
      <color rgb="FFDCECF8"/>
      <color rgb="FF662F2B"/>
      <color rgb="FFC10000"/>
      <color rgb="FFE2E6D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Drop" dropStyle="combo" dx="16" fmlaLink="seitenwaehler" fmlaRange="Basisparameter!$P$12:$P$15" noThreeD="1" sel="1" val="0"/>
</file>

<file path=xl/ctrlProps/ctrlProp2.xml><?xml version="1.0" encoding="utf-8"?>
<formControlPr xmlns="http://schemas.microsoft.com/office/spreadsheetml/2009/9/main" objectType="Drop" dropStyle="combo" dx="16" fmlaLink="gewaehlteSprache" fmlaRange="Basisparameter!$Q$12:$Q$13" noThreeD="1" sel="2" val="0"/>
</file>

<file path=xl/ctrlProps/ctrlProp3.xml><?xml version="1.0" encoding="utf-8"?>
<formControlPr xmlns="http://schemas.microsoft.com/office/spreadsheetml/2009/9/main" objectType="Drop" dropLines="21" dropStyle="combo" dx="16" fmlaLink="aktionswaehler" fmlaRange="Basisparameter!$R$12:$R$32" noThreeD="1" sel="0" val="0"/>
</file>

<file path=xl/ctrlProps/ctrlProp4.xml><?xml version="1.0" encoding="utf-8"?>
<formControlPr xmlns="http://schemas.microsoft.com/office/spreadsheetml/2009/9/main" objectType="Drop" dropStyle="combo" dx="16" fmlaLink="Produktverwaltung!$C$6" fmlaRange="Basisparameter!$P$12:$P$997" noThreeD="1" sel="1" val="0"/>
</file>

<file path=xl/ctrlProps/ctrlProp5.xml><?xml version="1.0" encoding="utf-8"?>
<formControlPr xmlns="http://schemas.microsoft.com/office/spreadsheetml/2009/9/main" objectType="Drop" dropStyle="combo" dx="16" fmlaLink="Produktverwaltung!$B$6" fmlaRange="Basisparameter!$Q$12:$Q$997" noThreeD="1" sel="2" val="0"/>
</file>

<file path=xl/ctrlProps/ctrlProp6.xml><?xml version="1.0" encoding="utf-8"?>
<formControlPr xmlns="http://schemas.microsoft.com/office/spreadsheetml/2009/9/main" objectType="CheckBox" fmlaLink="$P$12" lockText="1" noThreeD="1"/>
</file>

<file path=xl/ctrlProps/ctrlProp7.xml><?xml version="1.0" encoding="utf-8"?>
<formControlPr xmlns="http://schemas.microsoft.com/office/spreadsheetml/2009/9/main" objectType="CheckBox" fmlaLink="$P$13" lockText="1" noThreeD="1"/>
</file>

<file path=xl/ctrlProps/ctrlProp8.xml><?xml version="1.0" encoding="utf-8"?>
<formControlPr xmlns="http://schemas.microsoft.com/office/spreadsheetml/2009/9/main" objectType="CheckBox" fmlaLink="$P$14" lockText="1" noThreeD="1"/>
</file>

<file path=xl/ctrlProps/ctrlProp9.xml><?xml version="1.0" encoding="utf-8"?>
<formControlPr xmlns="http://schemas.microsoft.com/office/spreadsheetml/2009/9/main" objectType="CheckBox" fmlaLink="$P$15" lockText="1" noThreeD="1"/>
</file>

<file path=xl/ctrlProps/ctrlProp10.xml><?xml version="1.0" encoding="utf-8"?>
<formControlPr xmlns="http://schemas.microsoft.com/office/spreadsheetml/2009/9/main" objectType="CheckBox" fmlaLink="$P$16" lockText="1" noThreeD="1"/>
</file>

<file path=xl/ctrlProps/ctrlProp11.xml><?xml version="1.0" encoding="utf-8"?>
<formControlPr xmlns="http://schemas.microsoft.com/office/spreadsheetml/2009/9/main" objectType="CheckBox" checked="Checked" fmlaLink="$P$17" lockText="1" noThreeD="1"/>
</file>

<file path=xl/ctrlProps/ctrlProp12.xml><?xml version="1.0" encoding="utf-8"?>
<formControlPr xmlns="http://schemas.microsoft.com/office/spreadsheetml/2009/9/main" objectType="CheckBox" fmlaLink="$P$18" lockText="1" noThreeD="1"/>
</file>

<file path=xl/ctrlProps/ctrlProp13.xml><?xml version="1.0" encoding="utf-8"?>
<formControlPr xmlns="http://schemas.microsoft.com/office/spreadsheetml/2009/9/main" objectType="CheckBox" fmlaLink="$P$19" lockText="1" noThreeD="1"/>
</file>

<file path=xl/ctrlProps/ctrlProp14.xml><?xml version="1.0" encoding="utf-8"?>
<formControlPr xmlns="http://schemas.microsoft.com/office/spreadsheetml/2009/9/main" objectType="Drop" dropStyle="combo" dx="16" fmlaLink="Produktverwaltung!$C$6" fmlaRange="Basisparameter!$P$12:$P$46" noThreeD="1" sel="1" val="0"/>
</file>

<file path=xl/ctrlProps/ctrlProp15.xml><?xml version="1.0" encoding="utf-8"?>
<formControlPr xmlns="http://schemas.microsoft.com/office/spreadsheetml/2009/9/main" objectType="Drop" dropStyle="combo" dx="16" fmlaLink="Produktverwaltung!$B$6" fmlaRange="Basisparameter!$Q$12:$Q$46" noThreeD="1" sel="2" val="0"/>
</file>

<file path=xl/ctrlProps/ctrlProp16.xml><?xml version="1.0" encoding="utf-8"?>
<formControlPr xmlns="http://schemas.microsoft.com/office/spreadsheetml/2009/9/main" objectType="Drop" dropStyle="combo" dx="16" fmlaLink="Produktverwaltung!$C$6" fmlaRange="Basisparameter!$P$12:$P$46" noThreeD="1" sel="1" val="0"/>
</file>

<file path=xl/ctrlProps/ctrlProp17.xml><?xml version="1.0" encoding="utf-8"?>
<formControlPr xmlns="http://schemas.microsoft.com/office/spreadsheetml/2009/9/main" objectType="Drop" dropStyle="combo" dx="16" fmlaLink="Produktverwaltung!$B$6" fmlaRange="Basisparameter!$Q$12:$Q$46" noThreeD="1" sel="2" val="0"/>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1076322</xdr:colOff>
      <xdr:row>0</xdr:row>
      <xdr:rowOff>1143000</xdr:rowOff>
    </xdr:to>
    <xdr:pic>
      <xdr:nvPicPr>
        <xdr:cNvPr id="6" name="grafikLogo">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4838697" cy="1143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447675</xdr:colOff>
          <xdr:row>3</xdr:row>
          <xdr:rowOff>190500</xdr:rowOff>
        </xdr:to>
        <xdr:sp macro="" textlink="">
          <xdr:nvSpPr>
            <xdr:cNvPr id="1152" name="Dropdown_Seitenwaehler01" hidden="1">
              <a:extLst>
                <a:ext uri="{63B3BB69-23CF-44E3-9099-C40C66FF867C}">
                  <a14:compatExt spid="_x0000_s1152"/>
                </a:ext>
                <a:ext uri="{FF2B5EF4-FFF2-40B4-BE49-F238E27FC236}">
                  <a16:creationId xmlns:a16="http://schemas.microsoft.com/office/drawing/2014/main" id="{00000000-0008-0000-0000-00008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0</xdr:rowOff>
        </xdr:from>
        <xdr:to>
          <xdr:col>2</xdr:col>
          <xdr:colOff>447675</xdr:colOff>
          <xdr:row>3</xdr:row>
          <xdr:rowOff>0</xdr:rowOff>
        </xdr:to>
        <xdr:sp macro="" textlink="">
          <xdr:nvSpPr>
            <xdr:cNvPr id="1158" name="Dropdown_Sprachwaehler01" hidden="1">
              <a:extLst>
                <a:ext uri="{63B3BB69-23CF-44E3-9099-C40C66FF867C}">
                  <a14:compatExt spid="_x0000_s1158"/>
                </a:ext>
                <a:ext uri="{FF2B5EF4-FFF2-40B4-BE49-F238E27FC236}">
                  <a16:creationId xmlns:a16="http://schemas.microsoft.com/office/drawing/2014/main" id="{00000000-0008-0000-0000-00008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xdr:row>
          <xdr:rowOff>0</xdr:rowOff>
        </xdr:from>
        <xdr:to>
          <xdr:col>6</xdr:col>
          <xdr:colOff>714375</xdr:colOff>
          <xdr:row>3</xdr:row>
          <xdr:rowOff>190500</xdr:rowOff>
        </xdr:to>
        <xdr:sp macro="" textlink="">
          <xdr:nvSpPr>
            <xdr:cNvPr id="1168" name="Dropdown_Aktionenwaehler01" hidden="1">
              <a:extLst>
                <a:ext uri="{63B3BB69-23CF-44E3-9099-C40C66FF867C}">
                  <a14:compatExt spid="_x0000_s1168"/>
                </a:ext>
                <a:ext uri="{FF2B5EF4-FFF2-40B4-BE49-F238E27FC236}">
                  <a16:creationId xmlns:a16="http://schemas.microsoft.com/office/drawing/2014/main" id="{00000000-0008-0000-0000-00009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2</xdr:col>
      <xdr:colOff>1600197</xdr:colOff>
      <xdr:row>0</xdr:row>
      <xdr:rowOff>1143000</xdr:rowOff>
    </xdr:to>
    <xdr:pic>
      <xdr:nvPicPr>
        <xdr:cNvPr id="4" name="grafikLogo">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4838697" cy="1143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2095500</xdr:colOff>
          <xdr:row>3</xdr:row>
          <xdr:rowOff>0</xdr:rowOff>
        </xdr:from>
        <xdr:to>
          <xdr:col>1</xdr:col>
          <xdr:colOff>1323975</xdr:colOff>
          <xdr:row>4</xdr:row>
          <xdr:rowOff>28575</xdr:rowOff>
        </xdr:to>
        <xdr:sp macro="" textlink="">
          <xdr:nvSpPr>
            <xdr:cNvPr id="164871" name="Dropdown_Seitenwaehler02" hidden="1">
              <a:extLst>
                <a:ext uri="{63B3BB69-23CF-44E3-9099-C40C66FF867C}">
                  <a14:compatExt spid="_x0000_s164871"/>
                </a:ext>
                <a:ext uri="{FF2B5EF4-FFF2-40B4-BE49-F238E27FC236}">
                  <a16:creationId xmlns:a16="http://schemas.microsoft.com/office/drawing/2014/main" id="{00000000-0008-0000-0100-0000078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2095500</xdr:colOff>
          <xdr:row>1</xdr:row>
          <xdr:rowOff>485775</xdr:rowOff>
        </xdr:from>
        <xdr:to>
          <xdr:col>1</xdr:col>
          <xdr:colOff>1323975</xdr:colOff>
          <xdr:row>3</xdr:row>
          <xdr:rowOff>28575</xdr:rowOff>
        </xdr:to>
        <xdr:sp macro="" textlink="">
          <xdr:nvSpPr>
            <xdr:cNvPr id="164872" name="Dropdown_Sprachwaehler02" hidden="1">
              <a:extLst>
                <a:ext uri="{63B3BB69-23CF-44E3-9099-C40C66FF867C}">
                  <a14:compatExt spid="_x0000_s164872"/>
                </a:ext>
                <a:ext uri="{FF2B5EF4-FFF2-40B4-BE49-F238E27FC236}">
                  <a16:creationId xmlns:a16="http://schemas.microsoft.com/office/drawing/2014/main" id="{00000000-0008-0000-0100-0000088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1485900</xdr:colOff>
          <xdr:row>11</xdr:row>
          <xdr:rowOff>28575</xdr:rowOff>
        </xdr:from>
        <xdr:to>
          <xdr:col>14</xdr:col>
          <xdr:colOff>1790700</xdr:colOff>
          <xdr:row>12</xdr:row>
          <xdr:rowOff>0</xdr:rowOff>
        </xdr:to>
        <xdr:sp macro="" textlink="">
          <xdr:nvSpPr>
            <xdr:cNvPr id="198435" name="Check Box 23331" hidden="1">
              <a:extLst>
                <a:ext uri="{63B3BB69-23CF-44E3-9099-C40C66FF867C}">
                  <a14:compatExt spid="_x0000_s198435"/>
                </a:ext>
                <a:ext uri="{FF2B5EF4-FFF2-40B4-BE49-F238E27FC236}">
                  <a16:creationId xmlns:a16="http://schemas.microsoft.com/office/drawing/2014/main" id="{00000000-0008-0000-0100-00002307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1485900</xdr:colOff>
          <xdr:row>12</xdr:row>
          <xdr:rowOff>28575</xdr:rowOff>
        </xdr:from>
        <xdr:to>
          <xdr:col>14</xdr:col>
          <xdr:colOff>1790700</xdr:colOff>
          <xdr:row>13</xdr:row>
          <xdr:rowOff>0</xdr:rowOff>
        </xdr:to>
        <xdr:sp macro="" textlink="">
          <xdr:nvSpPr>
            <xdr:cNvPr id="198436" name="Check Box 23332" hidden="1">
              <a:extLst>
                <a:ext uri="{63B3BB69-23CF-44E3-9099-C40C66FF867C}">
                  <a14:compatExt spid="_x0000_s198436"/>
                </a:ext>
                <a:ext uri="{FF2B5EF4-FFF2-40B4-BE49-F238E27FC236}">
                  <a16:creationId xmlns:a16="http://schemas.microsoft.com/office/drawing/2014/main" id="{00000000-0008-0000-0100-00002407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1485900</xdr:colOff>
          <xdr:row>13</xdr:row>
          <xdr:rowOff>0</xdr:rowOff>
        </xdr:from>
        <xdr:to>
          <xdr:col>14</xdr:col>
          <xdr:colOff>1790700</xdr:colOff>
          <xdr:row>13</xdr:row>
          <xdr:rowOff>219075</xdr:rowOff>
        </xdr:to>
        <xdr:sp macro="" textlink="">
          <xdr:nvSpPr>
            <xdr:cNvPr id="198437" name="Check Box 23333" hidden="1">
              <a:extLst>
                <a:ext uri="{63B3BB69-23CF-44E3-9099-C40C66FF867C}">
                  <a14:compatExt spid="_x0000_s198437"/>
                </a:ext>
                <a:ext uri="{FF2B5EF4-FFF2-40B4-BE49-F238E27FC236}">
                  <a16:creationId xmlns:a16="http://schemas.microsoft.com/office/drawing/2014/main" id="{00000000-0008-0000-0100-00002507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1485900</xdr:colOff>
          <xdr:row>14</xdr:row>
          <xdr:rowOff>0</xdr:rowOff>
        </xdr:from>
        <xdr:to>
          <xdr:col>14</xdr:col>
          <xdr:colOff>1790700</xdr:colOff>
          <xdr:row>14</xdr:row>
          <xdr:rowOff>219075</xdr:rowOff>
        </xdr:to>
        <xdr:sp macro="" textlink="">
          <xdr:nvSpPr>
            <xdr:cNvPr id="198438" name="Check Box 23334" hidden="1">
              <a:extLst>
                <a:ext uri="{63B3BB69-23CF-44E3-9099-C40C66FF867C}">
                  <a14:compatExt spid="_x0000_s198438"/>
                </a:ext>
                <a:ext uri="{FF2B5EF4-FFF2-40B4-BE49-F238E27FC236}">
                  <a16:creationId xmlns:a16="http://schemas.microsoft.com/office/drawing/2014/main" id="{00000000-0008-0000-0100-00002607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1485900</xdr:colOff>
          <xdr:row>15</xdr:row>
          <xdr:rowOff>0</xdr:rowOff>
        </xdr:from>
        <xdr:to>
          <xdr:col>14</xdr:col>
          <xdr:colOff>1790700</xdr:colOff>
          <xdr:row>15</xdr:row>
          <xdr:rowOff>219075</xdr:rowOff>
        </xdr:to>
        <xdr:sp macro="" textlink="">
          <xdr:nvSpPr>
            <xdr:cNvPr id="198440" name="Check Box 23336" hidden="1">
              <a:extLst>
                <a:ext uri="{63B3BB69-23CF-44E3-9099-C40C66FF867C}">
                  <a14:compatExt spid="_x0000_s198440"/>
                </a:ext>
                <a:ext uri="{FF2B5EF4-FFF2-40B4-BE49-F238E27FC236}">
                  <a16:creationId xmlns:a16="http://schemas.microsoft.com/office/drawing/2014/main" id="{00000000-0008-0000-0100-00002807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1485900</xdr:colOff>
          <xdr:row>16</xdr:row>
          <xdr:rowOff>0</xdr:rowOff>
        </xdr:from>
        <xdr:to>
          <xdr:col>14</xdr:col>
          <xdr:colOff>1790700</xdr:colOff>
          <xdr:row>17</xdr:row>
          <xdr:rowOff>28575</xdr:rowOff>
        </xdr:to>
        <xdr:sp macro="" textlink="">
          <xdr:nvSpPr>
            <xdr:cNvPr id="198441" name="Check Box 23337" hidden="1">
              <a:extLst>
                <a:ext uri="{63B3BB69-23CF-44E3-9099-C40C66FF867C}">
                  <a14:compatExt spid="_x0000_s198441"/>
                </a:ext>
                <a:ext uri="{FF2B5EF4-FFF2-40B4-BE49-F238E27FC236}">
                  <a16:creationId xmlns:a16="http://schemas.microsoft.com/office/drawing/2014/main" id="{00000000-0008-0000-0100-00002907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1485900</xdr:colOff>
          <xdr:row>17</xdr:row>
          <xdr:rowOff>0</xdr:rowOff>
        </xdr:from>
        <xdr:to>
          <xdr:col>14</xdr:col>
          <xdr:colOff>1790700</xdr:colOff>
          <xdr:row>18</xdr:row>
          <xdr:rowOff>28575</xdr:rowOff>
        </xdr:to>
        <xdr:sp macro="" textlink="">
          <xdr:nvSpPr>
            <xdr:cNvPr id="198442" name="Check Box 23338" hidden="1">
              <a:extLst>
                <a:ext uri="{63B3BB69-23CF-44E3-9099-C40C66FF867C}">
                  <a14:compatExt spid="_x0000_s198442"/>
                </a:ext>
                <a:ext uri="{FF2B5EF4-FFF2-40B4-BE49-F238E27FC236}">
                  <a16:creationId xmlns:a16="http://schemas.microsoft.com/office/drawing/2014/main" id="{00000000-0008-0000-0100-00002A07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1485900</xdr:colOff>
          <xdr:row>18</xdr:row>
          <xdr:rowOff>0</xdr:rowOff>
        </xdr:from>
        <xdr:to>
          <xdr:col>14</xdr:col>
          <xdr:colOff>1790700</xdr:colOff>
          <xdr:row>19</xdr:row>
          <xdr:rowOff>28575</xdr:rowOff>
        </xdr:to>
        <xdr:sp macro="" textlink="">
          <xdr:nvSpPr>
            <xdr:cNvPr id="198443" name="Check Box 23339" hidden="1">
              <a:extLst>
                <a:ext uri="{63B3BB69-23CF-44E3-9099-C40C66FF867C}">
                  <a14:compatExt spid="_x0000_s198443"/>
                </a:ext>
                <a:ext uri="{FF2B5EF4-FFF2-40B4-BE49-F238E27FC236}">
                  <a16:creationId xmlns:a16="http://schemas.microsoft.com/office/drawing/2014/main" id="{00000000-0008-0000-0100-00002B07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2</xdr:col>
      <xdr:colOff>628647</xdr:colOff>
      <xdr:row>0</xdr:row>
      <xdr:rowOff>1143000</xdr:rowOff>
    </xdr:to>
    <xdr:pic>
      <xdr:nvPicPr>
        <xdr:cNvPr id="4" name="grafikLogo">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4838697" cy="1143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2095500</xdr:colOff>
          <xdr:row>3</xdr:row>
          <xdr:rowOff>0</xdr:rowOff>
        </xdr:from>
        <xdr:to>
          <xdr:col>1</xdr:col>
          <xdr:colOff>1323975</xdr:colOff>
          <xdr:row>4</xdr:row>
          <xdr:rowOff>0</xdr:rowOff>
        </xdr:to>
        <xdr:sp macro="" textlink="">
          <xdr:nvSpPr>
            <xdr:cNvPr id="3091" name="Dropdown_Seitenwaehler03" hidden="1">
              <a:extLst>
                <a:ext uri="{63B3BB69-23CF-44E3-9099-C40C66FF867C}">
                  <a14:compatExt spid="_x0000_s3091"/>
                </a:ext>
                <a:ext uri="{FF2B5EF4-FFF2-40B4-BE49-F238E27FC236}">
                  <a16:creationId xmlns:a16="http://schemas.microsoft.com/office/drawing/2014/main" id="{00000000-0008-0000-0200-00001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2095500</xdr:colOff>
          <xdr:row>1</xdr:row>
          <xdr:rowOff>485775</xdr:rowOff>
        </xdr:from>
        <xdr:to>
          <xdr:col>1</xdr:col>
          <xdr:colOff>1323975</xdr:colOff>
          <xdr:row>2</xdr:row>
          <xdr:rowOff>190500</xdr:rowOff>
        </xdr:to>
        <xdr:sp macro="" textlink="">
          <xdr:nvSpPr>
            <xdr:cNvPr id="3092" name="Dropdown_Sprachwaehler03" hidden="1">
              <a:extLst>
                <a:ext uri="{63B3BB69-23CF-44E3-9099-C40C66FF867C}">
                  <a14:compatExt spid="_x0000_s3092"/>
                </a:ext>
                <a:ext uri="{FF2B5EF4-FFF2-40B4-BE49-F238E27FC236}">
                  <a16:creationId xmlns:a16="http://schemas.microsoft.com/office/drawing/2014/main" id="{00000000-0008-0000-0200-00001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447672</xdr:colOff>
      <xdr:row>0</xdr:row>
      <xdr:rowOff>1143000</xdr:rowOff>
    </xdr:to>
    <xdr:pic>
      <xdr:nvPicPr>
        <xdr:cNvPr id="5" name="grafikLogo">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4838697" cy="1143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561975</xdr:colOff>
          <xdr:row>4</xdr:row>
          <xdr:rowOff>0</xdr:rowOff>
        </xdr:to>
        <xdr:sp macro="" textlink="">
          <xdr:nvSpPr>
            <xdr:cNvPr id="4097" name="Dropdown_Seitenwaehler04"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xdr:row>
          <xdr:rowOff>485775</xdr:rowOff>
        </xdr:from>
        <xdr:to>
          <xdr:col>2</xdr:col>
          <xdr:colOff>561975</xdr:colOff>
          <xdr:row>2</xdr:row>
          <xdr:rowOff>190500</xdr:rowOff>
        </xdr:to>
        <xdr:sp macro="" textlink="">
          <xdr:nvSpPr>
            <xdr:cNvPr id="4098" name="Drop Dow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15.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outlinePr summaryBelow="0"/>
  </sheetPr>
  <dimension ref="A1:MQ119"/>
  <sheetViews>
    <sheetView showGridLines="0" tabSelected="1" zoomScale="80" zoomScaleNormal="80" zoomScaleSheetLayoutView="70" workbookViewId="0">
      <pane ySplit="11" topLeftCell="A12" activePane="bottomLeft" state="frozenSplit"/>
      <selection activeCell="HQ1" sqref="HQ1"/>
      <selection pane="bottomLeft" activeCell="A12" sqref="A12"/>
    </sheetView>
  </sheetViews>
  <sheetFormatPr baseColWidth="10" defaultColWidth="11.42578125" defaultRowHeight="12.75" x14ac:dyDescent="0.25"/>
  <cols>
    <col min="1" max="1" width="13.42578125" style="71" customWidth="1"/>
    <col min="2" max="4" width="13.42578125" style="70" customWidth="1"/>
    <col min="5" max="5" width="2.5703125" style="147" customWidth="1"/>
    <col min="6" max="6" width="24" style="71" customWidth="1"/>
    <col min="7" max="7" width="30" style="72" customWidth="1"/>
    <col min="8" max="8" width="19.5703125" style="72" customWidth="1"/>
    <col min="9" max="9" width="10.5703125" style="72" customWidth="1"/>
    <col min="10" max="10" width="45.42578125" style="72" bestFit="1" customWidth="1"/>
    <col min="11" max="11" width="19.5703125" style="72" customWidth="1"/>
    <col min="12" max="12" width="2.5703125" style="147" customWidth="1"/>
    <col min="13" max="13" width="15.42578125" style="150" customWidth="1"/>
    <col min="14" max="51" width="17.42578125" style="72" customWidth="1"/>
    <col min="52" max="52" width="17.5703125" style="72" customWidth="1"/>
    <col min="53" max="212" width="17.42578125" style="72" customWidth="1"/>
    <col min="213" max="213" width="2.5703125" style="147" customWidth="1"/>
    <col min="214" max="214" width="41.42578125" style="72" customWidth="1"/>
    <col min="215" max="215" width="31.42578125" style="72" customWidth="1"/>
    <col min="216" max="216" width="34.5703125" style="72" bestFit="1" customWidth="1"/>
    <col min="217" max="219" width="20.5703125" style="72" customWidth="1"/>
    <col min="220" max="220" width="2.5703125" style="147" customWidth="1"/>
    <col min="221" max="221" width="10.5703125" style="83" customWidth="1"/>
    <col min="222" max="222" width="19" style="73" bestFit="1" customWidth="1"/>
    <col min="223" max="223" width="2.5703125" style="147" customWidth="1"/>
    <col min="224" max="224" width="9.5703125" style="77" customWidth="1"/>
    <col min="225" max="225" width="23.42578125" style="73" customWidth="1"/>
    <col min="226" max="226" width="35.42578125" style="73" customWidth="1"/>
    <col min="227" max="227" width="12.42578125" style="77" customWidth="1"/>
    <col min="228" max="228" width="19" style="73" customWidth="1"/>
    <col min="229" max="229" width="31.42578125" style="73" customWidth="1"/>
    <col min="230" max="230" width="2.5703125" style="147" hidden="1" customWidth="1"/>
    <col min="231" max="231" width="14.42578125" style="83" hidden="1" customWidth="1"/>
    <col min="232" max="232" width="23.42578125" style="73" hidden="1" customWidth="1"/>
    <col min="233" max="233" width="10.5703125" style="77" hidden="1" customWidth="1"/>
    <col min="234" max="234" width="2.5703125" style="147" hidden="1" customWidth="1"/>
    <col min="235" max="236" width="17" style="77" hidden="1" customWidth="1"/>
    <col min="237" max="237" width="14.42578125" style="83" hidden="1" customWidth="1"/>
    <col min="238" max="238" width="17.42578125" style="73" hidden="1" customWidth="1"/>
    <col min="239" max="239" width="13.42578125" style="77" hidden="1" customWidth="1"/>
    <col min="240" max="240" width="23.42578125" style="73" hidden="1" customWidth="1"/>
    <col min="241" max="241" width="35.42578125" style="73" hidden="1" customWidth="1"/>
    <col min="242" max="242" width="13.42578125" style="77" hidden="1" customWidth="1"/>
    <col min="243" max="243" width="19" style="73" hidden="1" customWidth="1"/>
    <col min="244" max="244" width="31.42578125" style="73" hidden="1" customWidth="1"/>
    <col min="245" max="245" width="14.42578125" style="83" hidden="1" customWidth="1"/>
    <col min="246" max="246" width="17.42578125" style="73" hidden="1" customWidth="1"/>
    <col min="247" max="247" width="13.42578125" style="77" hidden="1" customWidth="1"/>
    <col min="248" max="248" width="2.5703125" style="147" hidden="1" customWidth="1"/>
    <col min="249" max="250" width="17" style="77" hidden="1" customWidth="1"/>
    <col min="251" max="251" width="14.42578125" style="83" hidden="1" customWidth="1"/>
    <col min="252" max="252" width="17.42578125" style="73" hidden="1" customWidth="1"/>
    <col min="253" max="253" width="13.42578125" style="77" hidden="1" customWidth="1"/>
    <col min="254" max="254" width="23.42578125" style="73" hidden="1" customWidth="1"/>
    <col min="255" max="255" width="35.42578125" style="73" hidden="1" customWidth="1"/>
    <col min="256" max="256" width="13.42578125" style="77" hidden="1" customWidth="1"/>
    <col min="257" max="257" width="19" style="73" hidden="1" customWidth="1"/>
    <col min="258" max="258" width="31.42578125" style="73" hidden="1" customWidth="1"/>
    <col min="259" max="259" width="14.42578125" style="83" hidden="1" customWidth="1"/>
    <col min="260" max="260" width="17.42578125" style="73" hidden="1" customWidth="1"/>
    <col min="261" max="261" width="13.42578125" style="77" hidden="1" customWidth="1"/>
    <col min="262" max="262" width="2.5703125" style="147" hidden="1" customWidth="1"/>
    <col min="263" max="264" width="17" style="77" hidden="1" customWidth="1"/>
    <col min="265" max="265" width="14.42578125" style="83" hidden="1" customWidth="1"/>
    <col min="266" max="266" width="17.42578125" style="73" hidden="1" customWidth="1"/>
    <col min="267" max="267" width="13.42578125" style="77" hidden="1" customWidth="1"/>
    <col min="268" max="268" width="23.42578125" style="73" hidden="1" customWidth="1"/>
    <col min="269" max="269" width="35.42578125" style="73" hidden="1" customWidth="1"/>
    <col min="270" max="270" width="13.42578125" style="77" hidden="1" customWidth="1"/>
    <col min="271" max="271" width="19" style="73" hidden="1" customWidth="1"/>
    <col min="272" max="272" width="31.42578125" style="73" hidden="1" customWidth="1"/>
    <col min="273" max="273" width="14.42578125" style="83" hidden="1" customWidth="1"/>
    <col min="274" max="274" width="17.42578125" style="73" hidden="1" customWidth="1"/>
    <col min="275" max="275" width="13.42578125" style="77" hidden="1" customWidth="1"/>
    <col min="276" max="276" width="2.5703125" style="147" hidden="1" customWidth="1"/>
    <col min="277" max="278" width="17" style="77" hidden="1" customWidth="1"/>
    <col min="279" max="279" width="14.42578125" style="83" hidden="1" customWidth="1"/>
    <col min="280" max="280" width="17.42578125" style="73" hidden="1" customWidth="1"/>
    <col min="281" max="281" width="13.42578125" style="77" hidden="1" customWidth="1"/>
    <col min="282" max="282" width="23.42578125" style="73" hidden="1" customWidth="1"/>
    <col min="283" max="283" width="35.42578125" style="73" hidden="1" customWidth="1"/>
    <col min="284" max="284" width="13.42578125" style="77" hidden="1" customWidth="1"/>
    <col min="285" max="285" width="19" style="73" hidden="1" customWidth="1"/>
    <col min="286" max="286" width="31.42578125" style="73" hidden="1" customWidth="1"/>
    <col min="287" max="287" width="14.42578125" style="83" hidden="1" customWidth="1"/>
    <col min="288" max="288" width="17.42578125" style="73" hidden="1" customWidth="1"/>
    <col min="289" max="289" width="13.42578125" style="77" hidden="1" customWidth="1"/>
    <col min="290" max="290" width="2.5703125" style="147" hidden="1" customWidth="1"/>
    <col min="291" max="292" width="17" style="77" hidden="1" customWidth="1"/>
    <col min="293" max="293" width="14.42578125" style="83" hidden="1" customWidth="1"/>
    <col min="294" max="294" width="17.42578125" style="73" hidden="1" customWidth="1"/>
    <col min="295" max="295" width="13.42578125" style="77" hidden="1" customWidth="1"/>
    <col min="296" max="296" width="23.42578125" style="73" hidden="1" customWidth="1"/>
    <col min="297" max="297" width="35.42578125" style="73" hidden="1" customWidth="1"/>
    <col min="298" max="298" width="13.42578125" style="77" hidden="1" customWidth="1"/>
    <col min="299" max="299" width="19" style="73" hidden="1" customWidth="1"/>
    <col min="300" max="300" width="31.42578125" style="73" hidden="1" customWidth="1"/>
    <col min="301" max="301" width="14.42578125" style="83" hidden="1" customWidth="1"/>
    <col min="302" max="302" width="17.42578125" style="73" hidden="1" customWidth="1"/>
    <col min="303" max="303" width="13.42578125" style="77" hidden="1" customWidth="1"/>
    <col min="304" max="304" width="2.5703125" style="147" customWidth="1"/>
    <col min="305" max="305" width="8" style="72" customWidth="1"/>
    <col min="306" max="306" width="7.42578125" style="74" customWidth="1"/>
    <col min="307" max="307" width="22.42578125" style="73" customWidth="1"/>
    <col min="308" max="308" width="11.42578125" style="72" customWidth="1"/>
    <col min="309" max="309" width="17" style="72" customWidth="1"/>
    <col min="310" max="310" width="19.5703125" style="75" customWidth="1"/>
    <col min="311" max="314" width="14" style="76" customWidth="1"/>
    <col min="315" max="315" width="9.5703125" style="77" customWidth="1"/>
    <col min="316" max="316" width="9.42578125" style="77" customWidth="1"/>
    <col min="317" max="317" width="21.42578125" style="78" customWidth="1"/>
    <col min="318" max="318" width="31.85546875" style="72" customWidth="1"/>
    <col min="319" max="319" width="11.42578125" style="72" customWidth="1"/>
    <col min="320" max="320" width="12.42578125" style="72" customWidth="1"/>
    <col min="321" max="321" width="22.42578125" style="72" customWidth="1"/>
    <col min="322" max="322" width="22.42578125" style="172" customWidth="1"/>
    <col min="323" max="323" width="22.42578125" style="163" customWidth="1"/>
    <col min="324" max="324" width="22.42578125" style="172" customWidth="1"/>
    <col min="325" max="325" width="22.42578125" style="72" customWidth="1"/>
    <col min="326" max="326" width="11.42578125" style="72" customWidth="1"/>
    <col min="327" max="328" width="16.42578125" style="72" hidden="1" customWidth="1"/>
    <col min="329" max="329" width="2.5703125" style="147" customWidth="1"/>
    <col min="330" max="332" width="28" style="72" customWidth="1"/>
    <col min="333" max="338" width="28" style="71" customWidth="1"/>
    <col min="339" max="339" width="28.42578125" style="71" customWidth="1"/>
    <col min="340" max="340" width="2.5703125" style="147" customWidth="1"/>
    <col min="341" max="343" width="28" style="72" hidden="1" customWidth="1"/>
    <col min="344" max="355" width="28" style="71" hidden="1" customWidth="1"/>
    <col min="356" max="368" width="0" style="71" hidden="1" customWidth="1"/>
    <col min="369" max="16384" width="11.42578125" style="71"/>
  </cols>
  <sheetData>
    <row r="1" spans="1:350" s="5" customFormat="1" ht="111" customHeight="1" x14ac:dyDescent="0.25">
      <c r="E1" s="140"/>
      <c r="H1" s="56"/>
      <c r="L1" s="140"/>
      <c r="M1" s="80"/>
      <c r="N1" s="154"/>
      <c r="HE1" s="140"/>
      <c r="HL1" s="140"/>
      <c r="HM1" s="13"/>
      <c r="HN1" s="11"/>
      <c r="HO1" s="140"/>
      <c r="HP1" s="11"/>
      <c r="HQ1" s="11"/>
      <c r="HR1" s="11"/>
      <c r="HS1" s="11"/>
      <c r="HT1" s="11"/>
      <c r="HU1" s="11"/>
      <c r="HV1" s="140"/>
      <c r="HW1" s="13"/>
      <c r="HX1" s="11"/>
      <c r="HY1" s="11"/>
      <c r="HZ1" s="140"/>
      <c r="IA1" s="11"/>
      <c r="IB1" s="11"/>
      <c r="IC1" s="13"/>
      <c r="ID1" s="11"/>
      <c r="IE1" s="11"/>
      <c r="IF1" s="11"/>
      <c r="IG1" s="11"/>
      <c r="IH1" s="11"/>
      <c r="II1" s="11"/>
      <c r="IJ1" s="11"/>
      <c r="IK1" s="13"/>
      <c r="IL1" s="11"/>
      <c r="IM1" s="11"/>
      <c r="IN1" s="140"/>
      <c r="IO1" s="11"/>
      <c r="IP1" s="11"/>
      <c r="IQ1" s="13"/>
      <c r="IR1" s="11"/>
      <c r="IS1" s="11"/>
      <c r="IT1" s="11"/>
      <c r="IU1" s="11"/>
      <c r="IV1" s="11"/>
      <c r="IW1" s="11"/>
      <c r="IX1" s="11"/>
      <c r="IY1" s="13"/>
      <c r="IZ1" s="11"/>
      <c r="JA1" s="11"/>
      <c r="JB1" s="140"/>
      <c r="JC1" s="11"/>
      <c r="JD1" s="11"/>
      <c r="JE1" s="13"/>
      <c r="JF1" s="11"/>
      <c r="JG1" s="11"/>
      <c r="JH1" s="11"/>
      <c r="JI1" s="11"/>
      <c r="JJ1" s="11"/>
      <c r="JK1" s="11"/>
      <c r="JL1" s="11"/>
      <c r="JM1" s="13"/>
      <c r="JN1" s="11"/>
      <c r="JO1" s="11"/>
      <c r="JP1" s="140"/>
      <c r="JQ1" s="11"/>
      <c r="JR1" s="11"/>
      <c r="JS1" s="13"/>
      <c r="JT1" s="11"/>
      <c r="JU1" s="11"/>
      <c r="JV1" s="11"/>
      <c r="JW1" s="11"/>
      <c r="JX1" s="11"/>
      <c r="JY1" s="11"/>
      <c r="JZ1" s="11"/>
      <c r="KA1" s="13"/>
      <c r="KB1" s="11"/>
      <c r="KC1" s="11"/>
      <c r="KD1" s="140"/>
      <c r="KE1" s="11"/>
      <c r="KF1" s="11"/>
      <c r="KG1" s="13"/>
      <c r="KH1" s="11"/>
      <c r="KI1" s="11"/>
      <c r="KJ1" s="11"/>
      <c r="KK1" s="11"/>
      <c r="KL1" s="11"/>
      <c r="KM1" s="11"/>
      <c r="KN1" s="11"/>
      <c r="KO1" s="13"/>
      <c r="KP1" s="11"/>
      <c r="KQ1" s="11"/>
      <c r="KR1" s="140"/>
      <c r="KT1" s="15"/>
      <c r="KU1" s="11"/>
      <c r="KX1" s="19"/>
      <c r="KY1" s="17"/>
      <c r="KZ1" s="17"/>
      <c r="LA1" s="17"/>
      <c r="LB1" s="17"/>
      <c r="LC1" s="46"/>
      <c r="LD1" s="46"/>
      <c r="LE1" s="46"/>
      <c r="LF1" s="56"/>
      <c r="LG1" s="56"/>
      <c r="LJ1" s="164"/>
      <c r="LK1" s="164"/>
      <c r="LL1" s="164"/>
      <c r="LM1" s="154"/>
      <c r="LQ1" s="140"/>
      <c r="MB1" s="140"/>
    </row>
    <row r="2" spans="1:350" s="5" customFormat="1" ht="37.5" customHeight="1" x14ac:dyDescent="0.25">
      <c r="A2" s="6" t="str">
        <f>mehrsprachigkeitBegriffsrückgabe(gewählteSpracheZurückgeben(),"MERCONIS PRODUCT MANAGER: Your products")</f>
        <v>MERCONIS PRODUCT MANAGER: Ihre Produkte</v>
      </c>
      <c r="E2" s="140"/>
      <c r="H2" s="56"/>
      <c r="J2" s="181"/>
      <c r="K2" s="115"/>
      <c r="L2" s="140"/>
      <c r="M2" s="80"/>
      <c r="N2" s="154"/>
      <c r="AZ2" s="91"/>
      <c r="HE2" s="140"/>
      <c r="HL2" s="140"/>
      <c r="HM2" s="13"/>
      <c r="HN2" s="11"/>
      <c r="HO2" s="140"/>
      <c r="HP2" s="11"/>
      <c r="HQ2" s="11"/>
      <c r="HR2" s="11"/>
      <c r="HS2" s="11"/>
      <c r="HT2" s="11"/>
      <c r="HU2" s="11"/>
      <c r="HV2" s="140"/>
      <c r="HW2" s="13"/>
      <c r="HX2" s="11"/>
      <c r="HY2" s="11"/>
      <c r="HZ2" s="140"/>
      <c r="IA2" s="11"/>
      <c r="IB2" s="11"/>
      <c r="IC2" s="13"/>
      <c r="ID2" s="11"/>
      <c r="IE2" s="11"/>
      <c r="IF2" s="11"/>
      <c r="IG2" s="11"/>
      <c r="IH2" s="11"/>
      <c r="II2" s="11"/>
      <c r="IJ2" s="11"/>
      <c r="IK2" s="13"/>
      <c r="IL2" s="11"/>
      <c r="IM2" s="11"/>
      <c r="IN2" s="140"/>
      <c r="IO2" s="11"/>
      <c r="IP2" s="11"/>
      <c r="IQ2" s="13"/>
      <c r="IR2" s="11"/>
      <c r="IS2" s="11"/>
      <c r="IT2" s="11"/>
      <c r="IU2" s="11"/>
      <c r="IV2" s="11"/>
      <c r="IW2" s="11"/>
      <c r="IX2" s="11"/>
      <c r="IY2" s="13"/>
      <c r="IZ2" s="11"/>
      <c r="JA2" s="11"/>
      <c r="JB2" s="140"/>
      <c r="JC2" s="11"/>
      <c r="JD2" s="11"/>
      <c r="JE2" s="13"/>
      <c r="JF2" s="11"/>
      <c r="JG2" s="11"/>
      <c r="JH2" s="11"/>
      <c r="JI2" s="11"/>
      <c r="JJ2" s="11"/>
      <c r="JK2" s="11"/>
      <c r="JL2" s="11"/>
      <c r="JM2" s="13"/>
      <c r="JN2" s="11"/>
      <c r="JO2" s="11"/>
      <c r="JP2" s="140"/>
      <c r="JQ2" s="11"/>
      <c r="JR2" s="11"/>
      <c r="JS2" s="13"/>
      <c r="JT2" s="11"/>
      <c r="JU2" s="11"/>
      <c r="JV2" s="11"/>
      <c r="JW2" s="11"/>
      <c r="JX2" s="11"/>
      <c r="JY2" s="11"/>
      <c r="JZ2" s="11"/>
      <c r="KA2" s="13"/>
      <c r="KB2" s="11"/>
      <c r="KC2" s="11"/>
      <c r="KD2" s="140"/>
      <c r="KE2" s="11"/>
      <c r="KF2" s="11"/>
      <c r="KG2" s="13"/>
      <c r="KH2" s="11"/>
      <c r="KI2" s="11"/>
      <c r="KJ2" s="11"/>
      <c r="KK2" s="11"/>
      <c r="KL2" s="11"/>
      <c r="KM2" s="11"/>
      <c r="KN2" s="11"/>
      <c r="KO2" s="13"/>
      <c r="KP2" s="11"/>
      <c r="KQ2" s="11"/>
      <c r="KR2" s="140"/>
      <c r="KT2" s="15"/>
      <c r="KU2" s="11"/>
      <c r="KX2" s="19"/>
      <c r="KY2" s="17"/>
      <c r="KZ2" s="17"/>
      <c r="LA2" s="17"/>
      <c r="LB2" s="17"/>
      <c r="LC2" s="46"/>
      <c r="LD2" s="46"/>
      <c r="LE2" s="46"/>
      <c r="LF2" s="56"/>
      <c r="LG2" s="56"/>
      <c r="LJ2" s="164"/>
      <c r="LK2" s="164"/>
      <c r="LL2" s="164"/>
      <c r="LM2" s="154"/>
      <c r="LQ2" s="140"/>
      <c r="MB2" s="140"/>
    </row>
    <row r="3" spans="1:350" s="5" customFormat="1" ht="15.75" customHeight="1" x14ac:dyDescent="0.15">
      <c r="A3" s="124" t="str">
        <f>mehrsprachigkeitBegriffsrückgabe(gewählteSpracheZurückgeben(),"Language")</f>
        <v>Sprache</v>
      </c>
      <c r="E3" s="140"/>
      <c r="F3" s="82" t="b">
        <v>0</v>
      </c>
      <c r="G3" s="81"/>
      <c r="H3" s="79"/>
      <c r="I3" s="80"/>
      <c r="J3" s="81"/>
      <c r="K3" s="81"/>
      <c r="L3" s="140"/>
      <c r="M3" s="80"/>
      <c r="N3" s="154"/>
      <c r="HE3" s="140"/>
      <c r="HL3" s="140"/>
      <c r="HM3" s="13"/>
      <c r="HN3" s="11"/>
      <c r="HO3" s="140"/>
      <c r="HP3" s="11"/>
      <c r="HQ3" s="11"/>
      <c r="HR3" s="11"/>
      <c r="HS3" s="11"/>
      <c r="HT3" s="11"/>
      <c r="HU3" s="11"/>
      <c r="HV3" s="140"/>
      <c r="HW3" s="13"/>
      <c r="HX3" s="11"/>
      <c r="HY3" s="11"/>
      <c r="HZ3" s="140"/>
      <c r="IA3" s="11"/>
      <c r="IB3" s="11"/>
      <c r="IC3" s="13"/>
      <c r="ID3" s="11"/>
      <c r="IE3" s="11"/>
      <c r="IF3" s="11"/>
      <c r="IG3" s="11"/>
      <c r="IH3" s="11"/>
      <c r="II3" s="11"/>
      <c r="IJ3" s="11"/>
      <c r="IK3" s="13"/>
      <c r="IL3" s="11"/>
      <c r="IM3" s="11"/>
      <c r="IN3" s="140"/>
      <c r="IO3" s="11"/>
      <c r="IP3" s="11"/>
      <c r="IQ3" s="13"/>
      <c r="IR3" s="11"/>
      <c r="IS3" s="11"/>
      <c r="IT3" s="11"/>
      <c r="IU3" s="11"/>
      <c r="IV3" s="11"/>
      <c r="IW3" s="11"/>
      <c r="IX3" s="11"/>
      <c r="IY3" s="13"/>
      <c r="IZ3" s="11"/>
      <c r="JA3" s="11"/>
      <c r="JB3" s="140"/>
      <c r="JC3" s="11"/>
      <c r="JD3" s="11"/>
      <c r="JE3" s="13"/>
      <c r="JF3" s="11"/>
      <c r="JG3" s="11"/>
      <c r="JH3" s="11"/>
      <c r="JI3" s="11"/>
      <c r="JJ3" s="11"/>
      <c r="JK3" s="11"/>
      <c r="JL3" s="11"/>
      <c r="JM3" s="13"/>
      <c r="JN3" s="11"/>
      <c r="JO3" s="11"/>
      <c r="JP3" s="140"/>
      <c r="JQ3" s="11"/>
      <c r="JR3" s="11"/>
      <c r="JS3" s="13"/>
      <c r="JT3" s="11"/>
      <c r="JU3" s="11"/>
      <c r="JV3" s="11"/>
      <c r="JW3" s="11"/>
      <c r="JX3" s="11"/>
      <c r="JY3" s="11"/>
      <c r="JZ3" s="11"/>
      <c r="KA3" s="13"/>
      <c r="KB3" s="11"/>
      <c r="KC3" s="11"/>
      <c r="KD3" s="140"/>
      <c r="KE3" s="11"/>
      <c r="KF3" s="11"/>
      <c r="KG3" s="13"/>
      <c r="KH3" s="11"/>
      <c r="KI3" s="11"/>
      <c r="KJ3" s="11"/>
      <c r="KK3" s="11"/>
      <c r="KL3" s="11"/>
      <c r="KM3" s="11"/>
      <c r="KN3" s="11"/>
      <c r="KO3" s="13"/>
      <c r="KP3" s="11"/>
      <c r="KQ3" s="11"/>
      <c r="KR3" s="140"/>
      <c r="KT3" s="15"/>
      <c r="KU3" s="11"/>
      <c r="KX3" s="19"/>
      <c r="KY3" s="17"/>
      <c r="KZ3" s="17"/>
      <c r="LA3" s="17"/>
      <c r="LB3" s="17"/>
      <c r="LC3" s="46"/>
      <c r="LD3" s="46"/>
      <c r="LE3" s="46"/>
      <c r="LF3" s="56"/>
      <c r="LG3" s="56"/>
      <c r="LJ3" s="164"/>
      <c r="LK3" s="164"/>
      <c r="LL3" s="164"/>
      <c r="LM3" s="154"/>
      <c r="LQ3" s="140"/>
      <c r="MB3" s="140"/>
    </row>
    <row r="4" spans="1:350" s="116" customFormat="1" ht="16.5" customHeight="1" x14ac:dyDescent="0.25">
      <c r="A4" s="124" t="str">
        <f>mehrsprachigkeitBegriffsrückgabe(gewählteSpracheZurückgeben(),"Go to page")</f>
        <v>Gehe zu Seite</v>
      </c>
      <c r="D4" s="124" t="str">
        <f>mehrsprachigkeitBegriffsrückgabe(gewählteSpracheZurückgeben(),"Action")</f>
        <v>Aktion</v>
      </c>
      <c r="E4" s="141"/>
      <c r="G4" s="116" t="b">
        <v>1</v>
      </c>
      <c r="H4" s="117"/>
      <c r="J4" s="90"/>
      <c r="K4" s="90"/>
      <c r="L4" s="141"/>
      <c r="M4" s="151"/>
      <c r="N4" s="155"/>
      <c r="HE4" s="141"/>
      <c r="HL4" s="141"/>
      <c r="HM4" s="118"/>
      <c r="HN4" s="119"/>
      <c r="HO4" s="141"/>
      <c r="HP4" s="119"/>
      <c r="HQ4" s="119"/>
      <c r="HR4" s="119"/>
      <c r="HS4" s="119"/>
      <c r="HT4" s="119"/>
      <c r="HU4" s="119"/>
      <c r="HV4" s="141"/>
      <c r="HW4" s="118"/>
      <c r="HX4" s="119"/>
      <c r="HY4" s="119"/>
      <c r="HZ4" s="141"/>
      <c r="IA4" s="119"/>
      <c r="IB4" s="119"/>
      <c r="IC4" s="118"/>
      <c r="ID4" s="119"/>
      <c r="IE4" s="119"/>
      <c r="IF4" s="119"/>
      <c r="IG4" s="119"/>
      <c r="IH4" s="119"/>
      <c r="II4" s="119"/>
      <c r="IJ4" s="119"/>
      <c r="IK4" s="118"/>
      <c r="IL4" s="119"/>
      <c r="IM4" s="119"/>
      <c r="IN4" s="141"/>
      <c r="IO4" s="119"/>
      <c r="IP4" s="119"/>
      <c r="IQ4" s="118"/>
      <c r="IR4" s="119"/>
      <c r="IS4" s="119"/>
      <c r="IT4" s="119"/>
      <c r="IU4" s="119"/>
      <c r="IV4" s="119"/>
      <c r="IW4" s="119"/>
      <c r="IX4" s="119"/>
      <c r="IY4" s="118"/>
      <c r="IZ4" s="119"/>
      <c r="JA4" s="119"/>
      <c r="JB4" s="141"/>
      <c r="JC4" s="119"/>
      <c r="JD4" s="119"/>
      <c r="JE4" s="118"/>
      <c r="JF4" s="119"/>
      <c r="JG4" s="119"/>
      <c r="JH4" s="119"/>
      <c r="JI4" s="119"/>
      <c r="JJ4" s="119"/>
      <c r="JK4" s="119"/>
      <c r="JL4" s="119"/>
      <c r="JM4" s="118"/>
      <c r="JN4" s="119"/>
      <c r="JO4" s="119"/>
      <c r="JP4" s="141"/>
      <c r="JQ4" s="119"/>
      <c r="JR4" s="119"/>
      <c r="JS4" s="118"/>
      <c r="JT4" s="119"/>
      <c r="JU4" s="119"/>
      <c r="JV4" s="119"/>
      <c r="JW4" s="119"/>
      <c r="JX4" s="119"/>
      <c r="JY4" s="119"/>
      <c r="JZ4" s="119"/>
      <c r="KA4" s="118"/>
      <c r="KB4" s="119"/>
      <c r="KC4" s="119"/>
      <c r="KD4" s="141"/>
      <c r="KE4" s="119"/>
      <c r="KF4" s="119"/>
      <c r="KG4" s="118"/>
      <c r="KH4" s="119"/>
      <c r="KI4" s="119"/>
      <c r="KJ4" s="119"/>
      <c r="KK4" s="119"/>
      <c r="KL4" s="119"/>
      <c r="KM4" s="119"/>
      <c r="KN4" s="119"/>
      <c r="KO4" s="118"/>
      <c r="KP4" s="119"/>
      <c r="KQ4" s="119"/>
      <c r="KR4" s="141"/>
      <c r="KT4" s="120"/>
      <c r="KU4" s="119"/>
      <c r="KX4" s="121"/>
      <c r="KY4" s="122"/>
      <c r="KZ4" s="122"/>
      <c r="LA4" s="122"/>
      <c r="LB4" s="122"/>
      <c r="LC4" s="123"/>
      <c r="LD4" s="123"/>
      <c r="LE4" s="123"/>
      <c r="LF4" s="117"/>
      <c r="LG4" s="117"/>
      <c r="LJ4" s="165"/>
      <c r="LK4" s="165"/>
      <c r="LL4" s="165"/>
      <c r="LM4" s="155"/>
      <c r="LQ4" s="141"/>
      <c r="MB4" s="141"/>
    </row>
    <row r="5" spans="1:350" s="7" customFormat="1" ht="6" customHeight="1" x14ac:dyDescent="0.25">
      <c r="E5" s="142"/>
      <c r="H5" s="57"/>
      <c r="L5" s="142"/>
      <c r="M5" s="148"/>
      <c r="N5" s="156"/>
      <c r="HE5" s="142"/>
      <c r="HL5" s="142"/>
      <c r="HM5" s="14"/>
      <c r="HN5" s="12"/>
      <c r="HO5" s="142"/>
      <c r="HP5" s="12"/>
      <c r="HQ5" s="12"/>
      <c r="HR5" s="12"/>
      <c r="HS5" s="12"/>
      <c r="HT5" s="12"/>
      <c r="HU5" s="12"/>
      <c r="HV5" s="142"/>
      <c r="HW5" s="14"/>
      <c r="HX5" s="12"/>
      <c r="HY5" s="12"/>
      <c r="HZ5" s="142"/>
      <c r="IA5" s="12"/>
      <c r="IB5" s="12"/>
      <c r="IC5" s="14"/>
      <c r="ID5" s="12"/>
      <c r="IE5" s="12"/>
      <c r="IF5" s="12"/>
      <c r="IG5" s="12"/>
      <c r="IH5" s="12"/>
      <c r="II5" s="12"/>
      <c r="IJ5" s="12"/>
      <c r="IK5" s="14"/>
      <c r="IL5" s="12"/>
      <c r="IM5" s="12"/>
      <c r="IN5" s="142"/>
      <c r="IO5" s="12"/>
      <c r="IP5" s="12"/>
      <c r="IQ5" s="14"/>
      <c r="IR5" s="12"/>
      <c r="IS5" s="12"/>
      <c r="IT5" s="12"/>
      <c r="IU5" s="12"/>
      <c r="IV5" s="12"/>
      <c r="IW5" s="12"/>
      <c r="IX5" s="12"/>
      <c r="IY5" s="14"/>
      <c r="IZ5" s="12"/>
      <c r="JA5" s="12"/>
      <c r="JB5" s="142"/>
      <c r="JC5" s="12"/>
      <c r="JD5" s="12"/>
      <c r="JE5" s="14"/>
      <c r="JF5" s="12"/>
      <c r="JG5" s="12"/>
      <c r="JH5" s="12"/>
      <c r="JI5" s="12"/>
      <c r="JJ5" s="12"/>
      <c r="JK5" s="12"/>
      <c r="JL5" s="12"/>
      <c r="JM5" s="14"/>
      <c r="JN5" s="12"/>
      <c r="JO5" s="12"/>
      <c r="JP5" s="142"/>
      <c r="JQ5" s="12"/>
      <c r="JR5" s="12"/>
      <c r="JS5" s="14"/>
      <c r="JT5" s="12"/>
      <c r="JU5" s="12"/>
      <c r="JV5" s="12"/>
      <c r="JW5" s="12"/>
      <c r="JX5" s="12"/>
      <c r="JY5" s="12"/>
      <c r="JZ5" s="12"/>
      <c r="KA5" s="14"/>
      <c r="KB5" s="12"/>
      <c r="KC5" s="12"/>
      <c r="KD5" s="142"/>
      <c r="KE5" s="12"/>
      <c r="KF5" s="12"/>
      <c r="KG5" s="14"/>
      <c r="KH5" s="12"/>
      <c r="KI5" s="12"/>
      <c r="KJ5" s="12"/>
      <c r="KK5" s="12"/>
      <c r="KL5" s="12"/>
      <c r="KM5" s="12"/>
      <c r="KN5" s="12"/>
      <c r="KO5" s="14"/>
      <c r="KP5" s="12"/>
      <c r="KQ5" s="12"/>
      <c r="KR5" s="142"/>
      <c r="KT5" s="16"/>
      <c r="KU5" s="12"/>
      <c r="KX5" s="20"/>
      <c r="KY5" s="18"/>
      <c r="KZ5" s="18"/>
      <c r="LA5" s="18"/>
      <c r="LB5" s="18"/>
      <c r="LC5" s="84"/>
      <c r="LD5" s="84"/>
      <c r="LE5" s="47"/>
      <c r="LF5" s="57"/>
      <c r="LG5" s="57"/>
      <c r="LJ5" s="166"/>
      <c r="LK5" s="166"/>
      <c r="LL5" s="166"/>
      <c r="LM5" s="156"/>
      <c r="LQ5" s="142"/>
      <c r="MB5" s="142"/>
    </row>
    <row r="6" spans="1:350" s="95" customFormat="1" ht="20.25" hidden="1" customHeight="1" x14ac:dyDescent="0.25">
      <c r="B6" s="95">
        <v>2</v>
      </c>
      <c r="C6" s="95">
        <v>1</v>
      </c>
      <c r="D6" s="95">
        <v>0</v>
      </c>
      <c r="E6" s="143"/>
      <c r="F6" s="95" t="b">
        <v>1</v>
      </c>
      <c r="G6" s="95" t="b">
        <v>0</v>
      </c>
      <c r="H6" s="95" t="b">
        <v>0</v>
      </c>
      <c r="I6" s="95" t="str">
        <f t="array" aca="1" ref="I6" ca="1">IF($F6&lt;&gt;"",IF(OR($F6=mehrsprachigkeitBegriffsrückgabe(gewählteSpracheZurückgeben(), "Variant"),$F6=mehrsprachigkeitBegriffsrückgabe(gewählteSpracheZurückgeben(), "Product (foreign language)")),INDIRECT(ADDRESS(10+(MATCH(2,1/($F6:$F$11=mehrsprachigkeitBegriffsrückgabe(gewählteSpracheZurückgeben(), "Product")))),6)),IF($F6=mehrsprachigkeitBegriffsrückgabe(gewählteSpracheZurückgeben(), "Variant (foreign language)"),INDIRECT(ADDRESS(10+(MATCH(2,1/($F6:$F$11=mehrsprachigkeitBegriffsrückgabe(gewählteSpracheZurückgeben(), "Variant")))),6)),"")),"")</f>
        <v/>
      </c>
      <c r="J6" s="95" t="s">
        <v>117</v>
      </c>
      <c r="L6" s="143"/>
      <c r="N6" s="157" t="b">
        <v>1</v>
      </c>
      <c r="O6" s="95">
        <v>0</v>
      </c>
      <c r="P6" s="95" t="b">
        <v>0</v>
      </c>
      <c r="Q6" s="95" t="b">
        <v>0</v>
      </c>
      <c r="HE6" s="143"/>
      <c r="HL6" s="143"/>
      <c r="HM6" s="97"/>
      <c r="HN6" s="96"/>
      <c r="HO6" s="143"/>
      <c r="HP6" s="96"/>
      <c r="HQ6" s="96"/>
      <c r="HR6" s="96"/>
      <c r="HS6" s="96"/>
      <c r="HT6" s="96"/>
      <c r="HU6" s="96"/>
      <c r="HV6" s="143"/>
      <c r="HW6" s="97"/>
      <c r="HX6" s="96"/>
      <c r="HY6" s="96"/>
      <c r="HZ6" s="143"/>
      <c r="IA6" s="96"/>
      <c r="IB6" s="96"/>
      <c r="IC6" s="97"/>
      <c r="ID6" s="96"/>
      <c r="IE6" s="96"/>
      <c r="IF6" s="96"/>
      <c r="IG6" s="96"/>
      <c r="IH6" s="96"/>
      <c r="II6" s="96"/>
      <c r="IJ6" s="96"/>
      <c r="IK6" s="97"/>
      <c r="IL6" s="96"/>
      <c r="IM6" s="96"/>
      <c r="IN6" s="143"/>
      <c r="IO6" s="96"/>
      <c r="IP6" s="96"/>
      <c r="IQ6" s="97"/>
      <c r="IR6" s="96"/>
      <c r="IS6" s="96"/>
      <c r="IT6" s="96"/>
      <c r="IU6" s="96"/>
      <c r="IV6" s="96"/>
      <c r="IW6" s="96"/>
      <c r="IX6" s="96"/>
      <c r="IY6" s="97"/>
      <c r="IZ6" s="96"/>
      <c r="JA6" s="96"/>
      <c r="JB6" s="143"/>
      <c r="JC6" s="96"/>
      <c r="JD6" s="96"/>
      <c r="JE6" s="97"/>
      <c r="JF6" s="96"/>
      <c r="JG6" s="96"/>
      <c r="JH6" s="96"/>
      <c r="JI6" s="96"/>
      <c r="JJ6" s="96"/>
      <c r="JK6" s="96"/>
      <c r="JL6" s="96"/>
      <c r="JM6" s="97"/>
      <c r="JN6" s="96"/>
      <c r="JO6" s="96"/>
      <c r="JP6" s="143"/>
      <c r="JQ6" s="96"/>
      <c r="JR6" s="96"/>
      <c r="JS6" s="97"/>
      <c r="JT6" s="96"/>
      <c r="JU6" s="96"/>
      <c r="JV6" s="96"/>
      <c r="JW6" s="96"/>
      <c r="JX6" s="96"/>
      <c r="JY6" s="96"/>
      <c r="JZ6" s="96"/>
      <c r="KA6" s="97"/>
      <c r="KB6" s="96"/>
      <c r="KC6" s="96"/>
      <c r="KD6" s="143"/>
      <c r="KE6" s="96"/>
      <c r="KF6" s="96"/>
      <c r="KG6" s="97"/>
      <c r="KH6" s="96"/>
      <c r="KI6" s="96"/>
      <c r="KJ6" s="96"/>
      <c r="KK6" s="96"/>
      <c r="KL6" s="96"/>
      <c r="KM6" s="96"/>
      <c r="KN6" s="96"/>
      <c r="KO6" s="97"/>
      <c r="KP6" s="96"/>
      <c r="KQ6" s="96"/>
      <c r="KR6" s="143"/>
      <c r="KT6" s="98"/>
      <c r="KU6" s="96"/>
      <c r="KX6" s="99"/>
      <c r="KY6" s="100"/>
      <c r="KZ6" s="100"/>
      <c r="LA6" s="100"/>
      <c r="LB6" s="100"/>
      <c r="LC6" s="101"/>
      <c r="LD6" s="101"/>
      <c r="LE6" s="102"/>
      <c r="LF6" s="103"/>
      <c r="LG6" s="103"/>
      <c r="LJ6" s="167">
        <v>0</v>
      </c>
      <c r="LK6" s="167"/>
      <c r="LL6" s="167">
        <v>0</v>
      </c>
      <c r="LM6" s="157"/>
      <c r="LQ6" s="143"/>
      <c r="MB6" s="143"/>
    </row>
    <row r="7" spans="1:350" s="22" customFormat="1" ht="81.75" hidden="1" customHeight="1" x14ac:dyDescent="0.25">
      <c r="A7" s="22" t="str">
        <f>mehrsprachigkeitBegriffsrückgabe(gewählteSpracheZurückgeben(),"/Product/Product (foreign language)/Variant/Variant (foreign language)/")</f>
        <v>/Produkt/Produkt (Fremdsprache)/Variante/Variante (Fremdsprache)/</v>
      </c>
      <c r="B7" s="22" t="str">
        <f>mehrsprachigkeitBegriffsrückgabe(gewählteSpracheZurückgeben(),"/Product/Product (foreign language)/Variant/Variant (foreign language)/")</f>
        <v>/Produkt/Produkt (Fremdsprache)/Variante/Variante (Fremdsprache)/</v>
      </c>
      <c r="C7" s="22" t="str">
        <f>mehrsprachigkeitBegriffsrückgabe(gewählteSpracheZurückgeben(),"/Product/Product (foreign language)/Variant/Variant (foreign language)/")</f>
        <v>/Produkt/Produkt (Fremdsprache)/Variante/Variante (Fremdsprache)/</v>
      </c>
      <c r="D7" s="22" t="str">
        <f>mehrsprachigkeitBegriffsrückgabe(gewählteSpracheZurückgeben(),"/Product/Variant/")</f>
        <v>/Produkt/Variante/</v>
      </c>
      <c r="E7" s="144"/>
      <c r="F7" s="22" t="str">
        <f>mehrsprachigkeitBegriffsrückgabe(gewählteSpracheZurückgeben(),"/Product/Product (foreign language)/Variant/Variant (foreign language)/")</f>
        <v>/Produkt/Produkt (Fremdsprache)/Variante/Variante (Fremdsprache)/</v>
      </c>
      <c r="G7" s="22" t="str">
        <f>mehrsprachigkeitBegriffsrückgabe(gewählteSpracheZurückgeben(),"/Product/Variant/")</f>
        <v>/Produkt/Variante/</v>
      </c>
      <c r="H7" s="22" t="str">
        <f>mehrsprachigkeitBegriffsrückgabe(gewählteSpracheZurückgeben(),"/Product (foreign language)/Variant/Variant (foreign language)/")</f>
        <v>/Produkt (Fremdsprache)/Variante/Variante (Fremdsprache)/</v>
      </c>
      <c r="I7" s="22" t="str">
        <f>mehrsprachigkeitBegriffsrückgabe(gewählteSpracheZurückgeben(),"/Product/Product (foreign language)/Variant/Variant (foreign language)/")</f>
        <v>/Produkt/Produkt (Fremdsprache)/Variante/Variante (Fremdsprache)/</v>
      </c>
      <c r="J7" s="22" t="str">
        <f>mehrsprachigkeitBegriffsrückgabe(gewählteSpracheZurückgeben(),"/Product/Product (foreign language)/Variant/Variant (foreign language)/")</f>
        <v>/Produkt/Produkt (Fremdsprache)/Variante/Variante (Fremdsprache)/</v>
      </c>
      <c r="K7" s="22" t="str">
        <f>mehrsprachigkeitBegriffsrückgabe(gewählteSpracheZurückgeben(),"/Product/Product (foreign language)/Variant/Variant (foreign language)/")</f>
        <v>/Produkt/Produkt (Fremdsprache)/Variante/Variante (Fremdsprache)/</v>
      </c>
      <c r="L7" s="144"/>
      <c r="M7" s="22" t="str">
        <f>mehrsprachigkeitBegriffsrückgabe(gewählteSpracheZurückgeben(),"/Product/Variant/")</f>
        <v>/Produkt/Variante/</v>
      </c>
      <c r="N7" s="158" t="str">
        <f>mehrsprachigkeitBegriffsrückgabe(gewählteSpracheZurückgeben(),"/Product/Variant/")</f>
        <v>/Produkt/Variante/</v>
      </c>
      <c r="O7" s="22" t="str">
        <f>mehrsprachigkeitBegriffsrückgabe(gewählteSpracheZurückgeben(),"/Product/Variant/")</f>
        <v>/Produkt/Variante/</v>
      </c>
      <c r="P7" s="22" t="str">
        <f>mehrsprachigkeitBegriffsrückgabe(gewählteSpracheZurückgeben(),"/Product/Variant/")</f>
        <v>/Produkt/Variante/</v>
      </c>
      <c r="Q7" s="22" t="str">
        <f>mehrsprachigkeitBegriffsrückgabe(gewählteSpracheZurückgeben(),"/Product/Variant/")</f>
        <v>/Produkt/Variante/</v>
      </c>
      <c r="R7" s="22" t="str">
        <f>mehrsprachigkeitBegriffsrückgabe(gewählteSpracheZurückgeben(),"/Product/Variant/")</f>
        <v>/Produkt/Variante/</v>
      </c>
      <c r="S7" s="22" t="str">
        <f>mehrsprachigkeitBegriffsrückgabe(gewählteSpracheZurückgeben(),"/Product/Variant/")</f>
        <v>/Produkt/Variante/</v>
      </c>
      <c r="T7" s="22" t="str">
        <f>mehrsprachigkeitBegriffsrückgabe(gewählteSpracheZurückgeben(),"/Product/Variant/")</f>
        <v>/Produkt/Variante/</v>
      </c>
      <c r="U7" s="22" t="str">
        <f>mehrsprachigkeitBegriffsrückgabe(gewählteSpracheZurückgeben(),"/Product/Variant/")</f>
        <v>/Produkt/Variante/</v>
      </c>
      <c r="V7" s="22" t="str">
        <f>mehrsprachigkeitBegriffsrückgabe(gewählteSpracheZurückgeben(),"/Product/Variant/")</f>
        <v>/Produkt/Variante/</v>
      </c>
      <c r="W7" s="22" t="str">
        <f>mehrsprachigkeitBegriffsrückgabe(gewählteSpracheZurückgeben(),"/Product/Variant/")</f>
        <v>/Produkt/Variante/</v>
      </c>
      <c r="X7" s="22" t="str">
        <f>mehrsprachigkeitBegriffsrückgabe(gewählteSpracheZurückgeben(),"/Product/Variant/")</f>
        <v>/Produkt/Variante/</v>
      </c>
      <c r="Y7" s="22" t="str">
        <f>mehrsprachigkeitBegriffsrückgabe(gewählteSpracheZurückgeben(),"/Product/Variant/")</f>
        <v>/Produkt/Variante/</v>
      </c>
      <c r="Z7" s="22" t="str">
        <f>mehrsprachigkeitBegriffsrückgabe(gewählteSpracheZurückgeben(),"/Product/Variant/")</f>
        <v>/Produkt/Variante/</v>
      </c>
      <c r="AA7" s="22" t="str">
        <f>mehrsprachigkeitBegriffsrückgabe(gewählteSpracheZurückgeben(),"/Product/Variant/")</f>
        <v>/Produkt/Variante/</v>
      </c>
      <c r="AB7" s="22" t="str">
        <f>mehrsprachigkeitBegriffsrückgabe(gewählteSpracheZurückgeben(),"/Product/Variant/")</f>
        <v>/Produkt/Variante/</v>
      </c>
      <c r="AC7" s="22" t="str">
        <f>mehrsprachigkeitBegriffsrückgabe(gewählteSpracheZurückgeben(),"/Product/Variant/")</f>
        <v>/Produkt/Variante/</v>
      </c>
      <c r="AD7" s="22" t="str">
        <f>mehrsprachigkeitBegriffsrückgabe(gewählteSpracheZurückgeben(),"/Product/Variant/")</f>
        <v>/Produkt/Variante/</v>
      </c>
      <c r="AE7" s="22" t="str">
        <f>mehrsprachigkeitBegriffsrückgabe(gewählteSpracheZurückgeben(),"/Product/Variant/")</f>
        <v>/Produkt/Variante/</v>
      </c>
      <c r="AF7" s="22" t="str">
        <f>mehrsprachigkeitBegriffsrückgabe(gewählteSpracheZurückgeben(),"/Product/Variant/")</f>
        <v>/Produkt/Variante/</v>
      </c>
      <c r="AG7" s="22" t="str">
        <f>mehrsprachigkeitBegriffsrückgabe(gewählteSpracheZurückgeben(),"/Product/Variant/")</f>
        <v>/Produkt/Variante/</v>
      </c>
      <c r="AH7" s="22" t="str">
        <f>mehrsprachigkeitBegriffsrückgabe(gewählteSpracheZurückgeben(),"/Product/Variant/")</f>
        <v>/Produkt/Variante/</v>
      </c>
      <c r="AI7" s="22" t="str">
        <f>mehrsprachigkeitBegriffsrückgabe(gewählteSpracheZurückgeben(),"/Product/Variant/")</f>
        <v>/Produkt/Variante/</v>
      </c>
      <c r="AJ7" s="22" t="str">
        <f>mehrsprachigkeitBegriffsrückgabe(gewählteSpracheZurückgeben(),"/Product/Variant/")</f>
        <v>/Produkt/Variante/</v>
      </c>
      <c r="AK7" s="22" t="str">
        <f>mehrsprachigkeitBegriffsrückgabe(gewählteSpracheZurückgeben(),"/Product/Variant/")</f>
        <v>/Produkt/Variante/</v>
      </c>
      <c r="AL7" s="22" t="str">
        <f>mehrsprachigkeitBegriffsrückgabe(gewählteSpracheZurückgeben(),"/Product/Variant/")</f>
        <v>/Produkt/Variante/</v>
      </c>
      <c r="AM7" s="22" t="str">
        <f>mehrsprachigkeitBegriffsrückgabe(gewählteSpracheZurückgeben(),"/Product/Variant/")</f>
        <v>/Produkt/Variante/</v>
      </c>
      <c r="AN7" s="22" t="str">
        <f>mehrsprachigkeitBegriffsrückgabe(gewählteSpracheZurückgeben(),"/Product/Variant/")</f>
        <v>/Produkt/Variante/</v>
      </c>
      <c r="AO7" s="22" t="str">
        <f>mehrsprachigkeitBegriffsrückgabe(gewählteSpracheZurückgeben(),"/Product/Variant/")</f>
        <v>/Produkt/Variante/</v>
      </c>
      <c r="AP7" s="22" t="str">
        <f>mehrsprachigkeitBegriffsrückgabe(gewählteSpracheZurückgeben(),"/Product/Variant/")</f>
        <v>/Produkt/Variante/</v>
      </c>
      <c r="AQ7" s="22" t="str">
        <f>mehrsprachigkeitBegriffsrückgabe(gewählteSpracheZurückgeben(),"/Product/Variant/")</f>
        <v>/Produkt/Variante/</v>
      </c>
      <c r="AR7" s="22" t="str">
        <f>mehrsprachigkeitBegriffsrückgabe(gewählteSpracheZurückgeben(),"/Product/Variant/")</f>
        <v>/Produkt/Variante/</v>
      </c>
      <c r="AS7" s="22" t="str">
        <f>mehrsprachigkeitBegriffsrückgabe(gewählteSpracheZurückgeben(),"/Product/Variant/")</f>
        <v>/Produkt/Variante/</v>
      </c>
      <c r="AT7" s="22" t="str">
        <f>mehrsprachigkeitBegriffsrückgabe(gewählteSpracheZurückgeben(),"/Product/Variant/")</f>
        <v>/Produkt/Variante/</v>
      </c>
      <c r="AU7" s="22" t="str">
        <f>mehrsprachigkeitBegriffsrückgabe(gewählteSpracheZurückgeben(),"/Product/Variant/")</f>
        <v>/Produkt/Variante/</v>
      </c>
      <c r="AV7" s="22" t="str">
        <f>mehrsprachigkeitBegriffsrückgabe(gewählteSpracheZurückgeben(),"/Product/Variant/")</f>
        <v>/Produkt/Variante/</v>
      </c>
      <c r="AW7" s="22" t="str">
        <f>mehrsprachigkeitBegriffsrückgabe(gewählteSpracheZurückgeben(),"/Product/Variant/")</f>
        <v>/Produkt/Variante/</v>
      </c>
      <c r="AX7" s="22" t="str">
        <f>mehrsprachigkeitBegriffsrückgabe(gewählteSpracheZurückgeben(),"/Product/Variant/")</f>
        <v>/Produkt/Variante/</v>
      </c>
      <c r="AY7" s="22" t="str">
        <f>mehrsprachigkeitBegriffsrückgabe(gewählteSpracheZurückgeben(),"/Product/Variant/")</f>
        <v>/Produkt/Variante/</v>
      </c>
      <c r="AZ7" s="22" t="str">
        <f>mehrsprachigkeitBegriffsrückgabe(gewählteSpracheZurückgeben(),"/Product/Variant/")</f>
        <v>/Produkt/Variante/</v>
      </c>
      <c r="BA7" s="22" t="str">
        <f>mehrsprachigkeitBegriffsrückgabe(gewählteSpracheZurückgeben(),"/Product/Variant/")</f>
        <v>/Produkt/Variante/</v>
      </c>
      <c r="BB7" s="22" t="str">
        <f>mehrsprachigkeitBegriffsrückgabe(gewählteSpracheZurückgeben(),"/Product/Variant/")</f>
        <v>/Produkt/Variante/</v>
      </c>
      <c r="BC7" s="22" t="str">
        <f>mehrsprachigkeitBegriffsrückgabe(gewählteSpracheZurückgeben(),"/Product/Variant/")</f>
        <v>/Produkt/Variante/</v>
      </c>
      <c r="BD7" s="22" t="str">
        <f>mehrsprachigkeitBegriffsrückgabe(gewählteSpracheZurückgeben(),"/Product/Variant/")</f>
        <v>/Produkt/Variante/</v>
      </c>
      <c r="BE7" s="22" t="str">
        <f>mehrsprachigkeitBegriffsrückgabe(gewählteSpracheZurückgeben(),"/Product/Variant/")</f>
        <v>/Produkt/Variante/</v>
      </c>
      <c r="BF7" s="22" t="str">
        <f>mehrsprachigkeitBegriffsrückgabe(gewählteSpracheZurückgeben(),"/Product/Variant/")</f>
        <v>/Produkt/Variante/</v>
      </c>
      <c r="BG7" s="22" t="str">
        <f>mehrsprachigkeitBegriffsrückgabe(gewählteSpracheZurückgeben(),"/Product/Variant/")</f>
        <v>/Produkt/Variante/</v>
      </c>
      <c r="BH7" s="22" t="str">
        <f>mehrsprachigkeitBegriffsrückgabe(gewählteSpracheZurückgeben(),"/Product/Variant/")</f>
        <v>/Produkt/Variante/</v>
      </c>
      <c r="BI7" s="22" t="str">
        <f>mehrsprachigkeitBegriffsrückgabe(gewählteSpracheZurückgeben(),"/Product/Variant/")</f>
        <v>/Produkt/Variante/</v>
      </c>
      <c r="BJ7" s="22" t="str">
        <f>mehrsprachigkeitBegriffsrückgabe(gewählteSpracheZurückgeben(),"/Product/Variant/")</f>
        <v>/Produkt/Variante/</v>
      </c>
      <c r="BK7" s="22" t="str">
        <f>mehrsprachigkeitBegriffsrückgabe(gewählteSpracheZurückgeben(),"/Product/Variant/")</f>
        <v>/Produkt/Variante/</v>
      </c>
      <c r="BL7" s="22" t="str">
        <f>mehrsprachigkeitBegriffsrückgabe(gewählteSpracheZurückgeben(),"/Product/Variant/")</f>
        <v>/Produkt/Variante/</v>
      </c>
      <c r="BM7" s="22" t="str">
        <f>mehrsprachigkeitBegriffsrückgabe(gewählteSpracheZurückgeben(),"/Product/Variant/")</f>
        <v>/Produkt/Variante/</v>
      </c>
      <c r="BN7" s="22" t="str">
        <f>mehrsprachigkeitBegriffsrückgabe(gewählteSpracheZurückgeben(),"/Product/Variant/")</f>
        <v>/Produkt/Variante/</v>
      </c>
      <c r="BO7" s="22" t="str">
        <f>mehrsprachigkeitBegriffsrückgabe(gewählteSpracheZurückgeben(),"/Product/Variant/")</f>
        <v>/Produkt/Variante/</v>
      </c>
      <c r="BP7" s="22" t="str">
        <f>mehrsprachigkeitBegriffsrückgabe(gewählteSpracheZurückgeben(),"/Product/Variant/")</f>
        <v>/Produkt/Variante/</v>
      </c>
      <c r="BQ7" s="22" t="str">
        <f>mehrsprachigkeitBegriffsrückgabe(gewählteSpracheZurückgeben(),"/Product/Variant/")</f>
        <v>/Produkt/Variante/</v>
      </c>
      <c r="BR7" s="22" t="str">
        <f>mehrsprachigkeitBegriffsrückgabe(gewählteSpracheZurückgeben(),"/Product/Variant/")</f>
        <v>/Produkt/Variante/</v>
      </c>
      <c r="BS7" s="22" t="str">
        <f>mehrsprachigkeitBegriffsrückgabe(gewählteSpracheZurückgeben(),"/Product/Variant/")</f>
        <v>/Produkt/Variante/</v>
      </c>
      <c r="BT7" s="22" t="str">
        <f>mehrsprachigkeitBegriffsrückgabe(gewählteSpracheZurückgeben(),"/Product/Variant/")</f>
        <v>/Produkt/Variante/</v>
      </c>
      <c r="BU7" s="22" t="str">
        <f>mehrsprachigkeitBegriffsrückgabe(gewählteSpracheZurückgeben(),"/Product/Variant/")</f>
        <v>/Produkt/Variante/</v>
      </c>
      <c r="BV7" s="22" t="str">
        <f>mehrsprachigkeitBegriffsrückgabe(gewählteSpracheZurückgeben(),"/Product/Variant/")</f>
        <v>/Produkt/Variante/</v>
      </c>
      <c r="BW7" s="22" t="str">
        <f>mehrsprachigkeitBegriffsrückgabe(gewählteSpracheZurückgeben(),"/Product/Variant/")</f>
        <v>/Produkt/Variante/</v>
      </c>
      <c r="BX7" s="22" t="str">
        <f>mehrsprachigkeitBegriffsrückgabe(gewählteSpracheZurückgeben(),"/Product/Variant/")</f>
        <v>/Produkt/Variante/</v>
      </c>
      <c r="BY7" s="22" t="str">
        <f>mehrsprachigkeitBegriffsrückgabe(gewählteSpracheZurückgeben(),"/Product/Variant/")</f>
        <v>/Produkt/Variante/</v>
      </c>
      <c r="BZ7" s="22" t="str">
        <f>mehrsprachigkeitBegriffsrückgabe(gewählteSpracheZurückgeben(),"/Product/Variant/")</f>
        <v>/Produkt/Variante/</v>
      </c>
      <c r="CA7" s="22" t="str">
        <f>mehrsprachigkeitBegriffsrückgabe(gewählteSpracheZurückgeben(),"/Product/Variant/")</f>
        <v>/Produkt/Variante/</v>
      </c>
      <c r="CB7" s="22" t="str">
        <f>mehrsprachigkeitBegriffsrückgabe(gewählteSpracheZurückgeben(),"/Product/Variant/")</f>
        <v>/Produkt/Variante/</v>
      </c>
      <c r="CC7" s="22" t="str">
        <f>mehrsprachigkeitBegriffsrückgabe(gewählteSpracheZurückgeben(),"/Product/Variant/")</f>
        <v>/Produkt/Variante/</v>
      </c>
      <c r="CD7" s="22" t="str">
        <f>mehrsprachigkeitBegriffsrückgabe(gewählteSpracheZurückgeben(),"/Product/Variant/")</f>
        <v>/Produkt/Variante/</v>
      </c>
      <c r="CE7" s="22" t="str">
        <f>mehrsprachigkeitBegriffsrückgabe(gewählteSpracheZurückgeben(),"/Product/Variant/")</f>
        <v>/Produkt/Variante/</v>
      </c>
      <c r="CF7" s="22" t="str">
        <f>mehrsprachigkeitBegriffsrückgabe(gewählteSpracheZurückgeben(),"/Product/Variant/")</f>
        <v>/Produkt/Variante/</v>
      </c>
      <c r="CG7" s="22" t="str">
        <f>mehrsprachigkeitBegriffsrückgabe(gewählteSpracheZurückgeben(),"/Product/Variant/")</f>
        <v>/Produkt/Variante/</v>
      </c>
      <c r="CH7" s="22" t="str">
        <f>mehrsprachigkeitBegriffsrückgabe(gewählteSpracheZurückgeben(),"/Product/Variant/")</f>
        <v>/Produkt/Variante/</v>
      </c>
      <c r="CI7" s="22" t="str">
        <f>mehrsprachigkeitBegriffsrückgabe(gewählteSpracheZurückgeben(),"/Product/Variant/")</f>
        <v>/Produkt/Variante/</v>
      </c>
      <c r="CJ7" s="22" t="str">
        <f>mehrsprachigkeitBegriffsrückgabe(gewählteSpracheZurückgeben(),"/Product/Variant/")</f>
        <v>/Produkt/Variante/</v>
      </c>
      <c r="CK7" s="22" t="str">
        <f>mehrsprachigkeitBegriffsrückgabe(gewählteSpracheZurückgeben(),"/Product/Variant/")</f>
        <v>/Produkt/Variante/</v>
      </c>
      <c r="CL7" s="22" t="str">
        <f>mehrsprachigkeitBegriffsrückgabe(gewählteSpracheZurückgeben(),"/Product/Variant/")</f>
        <v>/Produkt/Variante/</v>
      </c>
      <c r="CM7" s="22" t="str">
        <f>mehrsprachigkeitBegriffsrückgabe(gewählteSpracheZurückgeben(),"/Product/Variant/")</f>
        <v>/Produkt/Variante/</v>
      </c>
      <c r="CN7" s="22" t="str">
        <f>mehrsprachigkeitBegriffsrückgabe(gewählteSpracheZurückgeben(),"/Product/Variant/")</f>
        <v>/Produkt/Variante/</v>
      </c>
      <c r="CO7" s="22" t="str">
        <f>mehrsprachigkeitBegriffsrückgabe(gewählteSpracheZurückgeben(),"/Product/Variant/")</f>
        <v>/Produkt/Variante/</v>
      </c>
      <c r="CP7" s="22" t="str">
        <f>mehrsprachigkeitBegriffsrückgabe(gewählteSpracheZurückgeben(),"/Product/Variant/")</f>
        <v>/Produkt/Variante/</v>
      </c>
      <c r="CQ7" s="22" t="str">
        <f>mehrsprachigkeitBegriffsrückgabe(gewählteSpracheZurückgeben(),"/Product/Variant/")</f>
        <v>/Produkt/Variante/</v>
      </c>
      <c r="CR7" s="22" t="str">
        <f>mehrsprachigkeitBegriffsrückgabe(gewählteSpracheZurückgeben(),"/Product/Variant/")</f>
        <v>/Produkt/Variante/</v>
      </c>
      <c r="CS7" s="22" t="str">
        <f>mehrsprachigkeitBegriffsrückgabe(gewählteSpracheZurückgeben(),"/Product/Variant/")</f>
        <v>/Produkt/Variante/</v>
      </c>
      <c r="CT7" s="22" t="str">
        <f>mehrsprachigkeitBegriffsrückgabe(gewählteSpracheZurückgeben(),"/Product/Variant/")</f>
        <v>/Produkt/Variante/</v>
      </c>
      <c r="CU7" s="22" t="str">
        <f>mehrsprachigkeitBegriffsrückgabe(gewählteSpracheZurückgeben(),"/Product/Variant/")</f>
        <v>/Produkt/Variante/</v>
      </c>
      <c r="CV7" s="22" t="str">
        <f>mehrsprachigkeitBegriffsrückgabe(gewählteSpracheZurückgeben(),"/Product/Variant/")</f>
        <v>/Produkt/Variante/</v>
      </c>
      <c r="CW7" s="22" t="str">
        <f>mehrsprachigkeitBegriffsrückgabe(gewählteSpracheZurückgeben(),"/Product/Variant/")</f>
        <v>/Produkt/Variante/</v>
      </c>
      <c r="CX7" s="22" t="str">
        <f>mehrsprachigkeitBegriffsrückgabe(gewählteSpracheZurückgeben(),"/Product/Variant/")</f>
        <v>/Produkt/Variante/</v>
      </c>
      <c r="CY7" s="22" t="str">
        <f>mehrsprachigkeitBegriffsrückgabe(gewählteSpracheZurückgeben(),"/Product/Variant/")</f>
        <v>/Produkt/Variante/</v>
      </c>
      <c r="CZ7" s="22" t="str">
        <f>mehrsprachigkeitBegriffsrückgabe(gewählteSpracheZurückgeben(),"/Product/Variant/")</f>
        <v>/Produkt/Variante/</v>
      </c>
      <c r="DA7" s="22" t="str">
        <f>mehrsprachigkeitBegriffsrückgabe(gewählteSpracheZurückgeben(),"/Product/Variant/")</f>
        <v>/Produkt/Variante/</v>
      </c>
      <c r="DB7" s="22" t="str">
        <f>mehrsprachigkeitBegriffsrückgabe(gewählteSpracheZurückgeben(),"/Product/Variant/")</f>
        <v>/Produkt/Variante/</v>
      </c>
      <c r="DC7" s="22" t="str">
        <f>mehrsprachigkeitBegriffsrückgabe(gewählteSpracheZurückgeben(),"/Product/Variant/")</f>
        <v>/Produkt/Variante/</v>
      </c>
      <c r="DD7" s="22" t="str">
        <f>mehrsprachigkeitBegriffsrückgabe(gewählteSpracheZurückgeben(),"/Product/Variant/")</f>
        <v>/Produkt/Variante/</v>
      </c>
      <c r="DE7" s="22" t="str">
        <f>mehrsprachigkeitBegriffsrückgabe(gewählteSpracheZurückgeben(),"/Product/Variant/")</f>
        <v>/Produkt/Variante/</v>
      </c>
      <c r="DF7" s="22" t="str">
        <f>mehrsprachigkeitBegriffsrückgabe(gewählteSpracheZurückgeben(),"/Product/Variant/")</f>
        <v>/Produkt/Variante/</v>
      </c>
      <c r="DG7" s="22" t="str">
        <f>mehrsprachigkeitBegriffsrückgabe(gewählteSpracheZurückgeben(),"/Product/Variant/")</f>
        <v>/Produkt/Variante/</v>
      </c>
      <c r="DH7" s="22" t="str">
        <f>mehrsprachigkeitBegriffsrückgabe(gewählteSpracheZurückgeben(),"/Product/Variant/")</f>
        <v>/Produkt/Variante/</v>
      </c>
      <c r="DI7" s="22" t="str">
        <f>mehrsprachigkeitBegriffsrückgabe(gewählteSpracheZurückgeben(),"/Product/Variant/")</f>
        <v>/Produkt/Variante/</v>
      </c>
      <c r="DJ7" s="22" t="str">
        <f>mehrsprachigkeitBegriffsrückgabe(gewählteSpracheZurückgeben(),"/Product/Variant/")</f>
        <v>/Produkt/Variante/</v>
      </c>
      <c r="DK7" s="22" t="str">
        <f>mehrsprachigkeitBegriffsrückgabe(gewählteSpracheZurückgeben(),"/Product/Variant/")</f>
        <v>/Produkt/Variante/</v>
      </c>
      <c r="DL7" s="22" t="str">
        <f>mehrsprachigkeitBegriffsrückgabe(gewählteSpracheZurückgeben(),"/Product/Variant/")</f>
        <v>/Produkt/Variante/</v>
      </c>
      <c r="DM7" s="22" t="str">
        <f>mehrsprachigkeitBegriffsrückgabe(gewählteSpracheZurückgeben(),"/Product/Variant/")</f>
        <v>/Produkt/Variante/</v>
      </c>
      <c r="DN7" s="22" t="str">
        <f>mehrsprachigkeitBegriffsrückgabe(gewählteSpracheZurückgeben(),"/Product/Variant/")</f>
        <v>/Produkt/Variante/</v>
      </c>
      <c r="DO7" s="22" t="str">
        <f>mehrsprachigkeitBegriffsrückgabe(gewählteSpracheZurückgeben(),"/Product/Variant/")</f>
        <v>/Produkt/Variante/</v>
      </c>
      <c r="DP7" s="22" t="str">
        <f>mehrsprachigkeitBegriffsrückgabe(gewählteSpracheZurückgeben(),"/Product/Variant/")</f>
        <v>/Produkt/Variante/</v>
      </c>
      <c r="DQ7" s="22" t="str">
        <f>mehrsprachigkeitBegriffsrückgabe(gewählteSpracheZurückgeben(),"/Product/Variant/")</f>
        <v>/Produkt/Variante/</v>
      </c>
      <c r="DR7" s="22" t="str">
        <f>mehrsprachigkeitBegriffsrückgabe(gewählteSpracheZurückgeben(),"/Product/Variant/")</f>
        <v>/Produkt/Variante/</v>
      </c>
      <c r="DS7" s="22" t="str">
        <f>mehrsprachigkeitBegriffsrückgabe(gewählteSpracheZurückgeben(),"/Product/Variant/")</f>
        <v>/Produkt/Variante/</v>
      </c>
      <c r="DT7" s="22" t="str">
        <f>mehrsprachigkeitBegriffsrückgabe(gewählteSpracheZurückgeben(),"/Product/Variant/")</f>
        <v>/Produkt/Variante/</v>
      </c>
      <c r="DU7" s="22" t="str">
        <f>mehrsprachigkeitBegriffsrückgabe(gewählteSpracheZurückgeben(),"/Product/Variant/")</f>
        <v>/Produkt/Variante/</v>
      </c>
      <c r="DV7" s="22" t="str">
        <f>mehrsprachigkeitBegriffsrückgabe(gewählteSpracheZurückgeben(),"/Product/Variant/")</f>
        <v>/Produkt/Variante/</v>
      </c>
      <c r="DW7" s="22" t="str">
        <f>mehrsprachigkeitBegriffsrückgabe(gewählteSpracheZurückgeben(),"/Product/Variant/")</f>
        <v>/Produkt/Variante/</v>
      </c>
      <c r="DX7" s="22" t="str">
        <f>mehrsprachigkeitBegriffsrückgabe(gewählteSpracheZurückgeben(),"/Product/Variant/")</f>
        <v>/Produkt/Variante/</v>
      </c>
      <c r="DY7" s="22" t="str">
        <f>mehrsprachigkeitBegriffsrückgabe(gewählteSpracheZurückgeben(),"/Product/Variant/")</f>
        <v>/Produkt/Variante/</v>
      </c>
      <c r="DZ7" s="22" t="str">
        <f>mehrsprachigkeitBegriffsrückgabe(gewählteSpracheZurückgeben(),"/Product/Variant/")</f>
        <v>/Produkt/Variante/</v>
      </c>
      <c r="EA7" s="22" t="str">
        <f>mehrsprachigkeitBegriffsrückgabe(gewählteSpracheZurückgeben(),"/Product/Variant/")</f>
        <v>/Produkt/Variante/</v>
      </c>
      <c r="EB7" s="22" t="str">
        <f>mehrsprachigkeitBegriffsrückgabe(gewählteSpracheZurückgeben(),"/Product/Variant/")</f>
        <v>/Produkt/Variante/</v>
      </c>
      <c r="EC7" s="22" t="str">
        <f>mehrsprachigkeitBegriffsrückgabe(gewählteSpracheZurückgeben(),"/Product/Variant/")</f>
        <v>/Produkt/Variante/</v>
      </c>
      <c r="ED7" s="22" t="str">
        <f>mehrsprachigkeitBegriffsrückgabe(gewählteSpracheZurückgeben(),"/Product/Variant/")</f>
        <v>/Produkt/Variante/</v>
      </c>
      <c r="EE7" s="22" t="str">
        <f>mehrsprachigkeitBegriffsrückgabe(gewählteSpracheZurückgeben(),"/Product/Variant/")</f>
        <v>/Produkt/Variante/</v>
      </c>
      <c r="EF7" s="22" t="str">
        <f>mehrsprachigkeitBegriffsrückgabe(gewählteSpracheZurückgeben(),"/Product/Variant/")</f>
        <v>/Produkt/Variante/</v>
      </c>
      <c r="EG7" s="22" t="str">
        <f>mehrsprachigkeitBegriffsrückgabe(gewählteSpracheZurückgeben(),"/Product/Variant/")</f>
        <v>/Produkt/Variante/</v>
      </c>
      <c r="EH7" s="22" t="str">
        <f>mehrsprachigkeitBegriffsrückgabe(gewählteSpracheZurückgeben(),"/Product/Variant/")</f>
        <v>/Produkt/Variante/</v>
      </c>
      <c r="EI7" s="22" t="str">
        <f>mehrsprachigkeitBegriffsrückgabe(gewählteSpracheZurückgeben(),"/Product/Variant/")</f>
        <v>/Produkt/Variante/</v>
      </c>
      <c r="EJ7" s="22" t="str">
        <f>mehrsprachigkeitBegriffsrückgabe(gewählteSpracheZurückgeben(),"/Product/Variant/")</f>
        <v>/Produkt/Variante/</v>
      </c>
      <c r="EK7" s="22" t="str">
        <f>mehrsprachigkeitBegriffsrückgabe(gewählteSpracheZurückgeben(),"/Product/Variant/")</f>
        <v>/Produkt/Variante/</v>
      </c>
      <c r="EL7" s="22" t="str">
        <f>mehrsprachigkeitBegriffsrückgabe(gewählteSpracheZurückgeben(),"/Product/Variant/")</f>
        <v>/Produkt/Variante/</v>
      </c>
      <c r="EM7" s="22" t="str">
        <f>mehrsprachigkeitBegriffsrückgabe(gewählteSpracheZurückgeben(),"/Product/Variant/")</f>
        <v>/Produkt/Variante/</v>
      </c>
      <c r="EN7" s="22" t="str">
        <f>mehrsprachigkeitBegriffsrückgabe(gewählteSpracheZurückgeben(),"/Product/Variant/")</f>
        <v>/Produkt/Variante/</v>
      </c>
      <c r="EO7" s="22" t="str">
        <f>mehrsprachigkeitBegriffsrückgabe(gewählteSpracheZurückgeben(),"/Product/Variant/")</f>
        <v>/Produkt/Variante/</v>
      </c>
      <c r="EP7" s="22" t="str">
        <f>mehrsprachigkeitBegriffsrückgabe(gewählteSpracheZurückgeben(),"/Product/Variant/")</f>
        <v>/Produkt/Variante/</v>
      </c>
      <c r="EQ7" s="22" t="str">
        <f>mehrsprachigkeitBegriffsrückgabe(gewählteSpracheZurückgeben(),"/Product/Variant/")</f>
        <v>/Produkt/Variante/</v>
      </c>
      <c r="ER7" s="22" t="str">
        <f>mehrsprachigkeitBegriffsrückgabe(gewählteSpracheZurückgeben(),"/Product/Variant/")</f>
        <v>/Produkt/Variante/</v>
      </c>
      <c r="ES7" s="22" t="str">
        <f>mehrsprachigkeitBegriffsrückgabe(gewählteSpracheZurückgeben(),"/Product/Variant/")</f>
        <v>/Produkt/Variante/</v>
      </c>
      <c r="ET7" s="22" t="str">
        <f>mehrsprachigkeitBegriffsrückgabe(gewählteSpracheZurückgeben(),"/Product/Variant/")</f>
        <v>/Produkt/Variante/</v>
      </c>
      <c r="EU7" s="22" t="str">
        <f>mehrsprachigkeitBegriffsrückgabe(gewählteSpracheZurückgeben(),"/Product/Variant/")</f>
        <v>/Produkt/Variante/</v>
      </c>
      <c r="EV7" s="22" t="str">
        <f>mehrsprachigkeitBegriffsrückgabe(gewählteSpracheZurückgeben(),"/Product/Variant/")</f>
        <v>/Produkt/Variante/</v>
      </c>
      <c r="EW7" s="22" t="str">
        <f>mehrsprachigkeitBegriffsrückgabe(gewählteSpracheZurückgeben(),"/Product/Variant/")</f>
        <v>/Produkt/Variante/</v>
      </c>
      <c r="EX7" s="22" t="str">
        <f>mehrsprachigkeitBegriffsrückgabe(gewählteSpracheZurückgeben(),"/Product/Variant/")</f>
        <v>/Produkt/Variante/</v>
      </c>
      <c r="EY7" s="22" t="str">
        <f>mehrsprachigkeitBegriffsrückgabe(gewählteSpracheZurückgeben(),"/Product/Variant/")</f>
        <v>/Produkt/Variante/</v>
      </c>
      <c r="EZ7" s="22" t="str">
        <f>mehrsprachigkeitBegriffsrückgabe(gewählteSpracheZurückgeben(),"/Product/Variant/")</f>
        <v>/Produkt/Variante/</v>
      </c>
      <c r="FA7" s="22" t="str">
        <f>mehrsprachigkeitBegriffsrückgabe(gewählteSpracheZurückgeben(),"/Product/Variant/")</f>
        <v>/Produkt/Variante/</v>
      </c>
      <c r="FB7" s="22" t="str">
        <f>mehrsprachigkeitBegriffsrückgabe(gewählteSpracheZurückgeben(),"/Product/Variant/")</f>
        <v>/Produkt/Variante/</v>
      </c>
      <c r="FC7" s="22" t="str">
        <f>mehrsprachigkeitBegriffsrückgabe(gewählteSpracheZurückgeben(),"/Product/Variant/")</f>
        <v>/Produkt/Variante/</v>
      </c>
      <c r="FD7" s="22" t="str">
        <f>mehrsprachigkeitBegriffsrückgabe(gewählteSpracheZurückgeben(),"/Product/Variant/")</f>
        <v>/Produkt/Variante/</v>
      </c>
      <c r="FE7" s="22" t="str">
        <f>mehrsprachigkeitBegriffsrückgabe(gewählteSpracheZurückgeben(),"/Product/Variant/")</f>
        <v>/Produkt/Variante/</v>
      </c>
      <c r="FF7" s="22" t="str">
        <f>mehrsprachigkeitBegriffsrückgabe(gewählteSpracheZurückgeben(),"/Product/Variant/")</f>
        <v>/Produkt/Variante/</v>
      </c>
      <c r="FG7" s="22" t="str">
        <f>mehrsprachigkeitBegriffsrückgabe(gewählteSpracheZurückgeben(),"/Product/Variant/")</f>
        <v>/Produkt/Variante/</v>
      </c>
      <c r="FH7" s="22" t="str">
        <f>mehrsprachigkeitBegriffsrückgabe(gewählteSpracheZurückgeben(),"/Product/Variant/")</f>
        <v>/Produkt/Variante/</v>
      </c>
      <c r="FI7" s="22" t="str">
        <f>mehrsprachigkeitBegriffsrückgabe(gewählteSpracheZurückgeben(),"/Product/Variant/")</f>
        <v>/Produkt/Variante/</v>
      </c>
      <c r="FJ7" s="22" t="str">
        <f>mehrsprachigkeitBegriffsrückgabe(gewählteSpracheZurückgeben(),"/Product/Variant/")</f>
        <v>/Produkt/Variante/</v>
      </c>
      <c r="FK7" s="22" t="str">
        <f>mehrsprachigkeitBegriffsrückgabe(gewählteSpracheZurückgeben(),"/Product/Variant/")</f>
        <v>/Produkt/Variante/</v>
      </c>
      <c r="FL7" s="22" t="str">
        <f>mehrsprachigkeitBegriffsrückgabe(gewählteSpracheZurückgeben(),"/Product/Variant/")</f>
        <v>/Produkt/Variante/</v>
      </c>
      <c r="FM7" s="22" t="str">
        <f>mehrsprachigkeitBegriffsrückgabe(gewählteSpracheZurückgeben(),"/Product/Variant/")</f>
        <v>/Produkt/Variante/</v>
      </c>
      <c r="FN7" s="22" t="str">
        <f>mehrsprachigkeitBegriffsrückgabe(gewählteSpracheZurückgeben(),"/Product/Variant/")</f>
        <v>/Produkt/Variante/</v>
      </c>
      <c r="FO7" s="22" t="str">
        <f>mehrsprachigkeitBegriffsrückgabe(gewählteSpracheZurückgeben(),"/Product/Variant/")</f>
        <v>/Produkt/Variante/</v>
      </c>
      <c r="FP7" s="22" t="str">
        <f>mehrsprachigkeitBegriffsrückgabe(gewählteSpracheZurückgeben(),"/Product/Variant/")</f>
        <v>/Produkt/Variante/</v>
      </c>
      <c r="FQ7" s="22" t="str">
        <f>mehrsprachigkeitBegriffsrückgabe(gewählteSpracheZurückgeben(),"/Product/Variant/")</f>
        <v>/Produkt/Variante/</v>
      </c>
      <c r="FR7" s="22" t="str">
        <f>mehrsprachigkeitBegriffsrückgabe(gewählteSpracheZurückgeben(),"/Product/Variant/")</f>
        <v>/Produkt/Variante/</v>
      </c>
      <c r="FS7" s="22" t="str">
        <f>mehrsprachigkeitBegriffsrückgabe(gewählteSpracheZurückgeben(),"/Product/Variant/")</f>
        <v>/Produkt/Variante/</v>
      </c>
      <c r="FT7" s="22" t="str">
        <f>mehrsprachigkeitBegriffsrückgabe(gewählteSpracheZurückgeben(),"/Product/Variant/")</f>
        <v>/Produkt/Variante/</v>
      </c>
      <c r="FU7" s="22" t="str">
        <f>mehrsprachigkeitBegriffsrückgabe(gewählteSpracheZurückgeben(),"/Product/Variant/")</f>
        <v>/Produkt/Variante/</v>
      </c>
      <c r="FV7" s="22" t="str">
        <f>mehrsprachigkeitBegriffsrückgabe(gewählteSpracheZurückgeben(),"/Product/Variant/")</f>
        <v>/Produkt/Variante/</v>
      </c>
      <c r="FW7" s="22" t="str">
        <f>mehrsprachigkeitBegriffsrückgabe(gewählteSpracheZurückgeben(),"/Product/Variant/")</f>
        <v>/Produkt/Variante/</v>
      </c>
      <c r="FX7" s="22" t="str">
        <f>mehrsprachigkeitBegriffsrückgabe(gewählteSpracheZurückgeben(),"/Product/Variant/")</f>
        <v>/Produkt/Variante/</v>
      </c>
      <c r="FY7" s="22" t="str">
        <f>mehrsprachigkeitBegriffsrückgabe(gewählteSpracheZurückgeben(),"/Product/Variant/")</f>
        <v>/Produkt/Variante/</v>
      </c>
      <c r="FZ7" s="22" t="str">
        <f>mehrsprachigkeitBegriffsrückgabe(gewählteSpracheZurückgeben(),"/Product/Variant/")</f>
        <v>/Produkt/Variante/</v>
      </c>
      <c r="GA7" s="22" t="str">
        <f>mehrsprachigkeitBegriffsrückgabe(gewählteSpracheZurückgeben(),"/Product/Variant/")</f>
        <v>/Produkt/Variante/</v>
      </c>
      <c r="GB7" s="22" t="str">
        <f>mehrsprachigkeitBegriffsrückgabe(gewählteSpracheZurückgeben(),"/Product/Variant/")</f>
        <v>/Produkt/Variante/</v>
      </c>
      <c r="GC7" s="22" t="str">
        <f>mehrsprachigkeitBegriffsrückgabe(gewählteSpracheZurückgeben(),"/Product/Variant/")</f>
        <v>/Produkt/Variante/</v>
      </c>
      <c r="GD7" s="22" t="str">
        <f>mehrsprachigkeitBegriffsrückgabe(gewählteSpracheZurückgeben(),"/Product/Variant/")</f>
        <v>/Produkt/Variante/</v>
      </c>
      <c r="GE7" s="22" t="str">
        <f>mehrsprachigkeitBegriffsrückgabe(gewählteSpracheZurückgeben(),"/Product/Variant/")</f>
        <v>/Produkt/Variante/</v>
      </c>
      <c r="GF7" s="22" t="str">
        <f>mehrsprachigkeitBegriffsrückgabe(gewählteSpracheZurückgeben(),"/Product/Variant/")</f>
        <v>/Produkt/Variante/</v>
      </c>
      <c r="GG7" s="22" t="str">
        <f>mehrsprachigkeitBegriffsrückgabe(gewählteSpracheZurückgeben(),"/Product/Variant/")</f>
        <v>/Produkt/Variante/</v>
      </c>
      <c r="GH7" s="22" t="str">
        <f>mehrsprachigkeitBegriffsrückgabe(gewählteSpracheZurückgeben(),"/Product/Variant/")</f>
        <v>/Produkt/Variante/</v>
      </c>
      <c r="GI7" s="22" t="str">
        <f>mehrsprachigkeitBegriffsrückgabe(gewählteSpracheZurückgeben(),"/Product/Variant/")</f>
        <v>/Produkt/Variante/</v>
      </c>
      <c r="GJ7" s="22" t="str">
        <f>mehrsprachigkeitBegriffsrückgabe(gewählteSpracheZurückgeben(),"/Product/Variant/")</f>
        <v>/Produkt/Variante/</v>
      </c>
      <c r="GK7" s="22" t="str">
        <f>mehrsprachigkeitBegriffsrückgabe(gewählteSpracheZurückgeben(),"/Product/Variant/")</f>
        <v>/Produkt/Variante/</v>
      </c>
      <c r="GL7" s="22" t="str">
        <f>mehrsprachigkeitBegriffsrückgabe(gewählteSpracheZurückgeben(),"/Product/Variant/")</f>
        <v>/Produkt/Variante/</v>
      </c>
      <c r="GM7" s="22" t="str">
        <f>mehrsprachigkeitBegriffsrückgabe(gewählteSpracheZurückgeben(),"/Product/Variant/")</f>
        <v>/Produkt/Variante/</v>
      </c>
      <c r="GN7" s="22" t="str">
        <f>mehrsprachigkeitBegriffsrückgabe(gewählteSpracheZurückgeben(),"/Product/Variant/")</f>
        <v>/Produkt/Variante/</v>
      </c>
      <c r="GO7" s="22" t="str">
        <f>mehrsprachigkeitBegriffsrückgabe(gewählteSpracheZurückgeben(),"/Product/Variant/")</f>
        <v>/Produkt/Variante/</v>
      </c>
      <c r="GP7" s="22" t="str">
        <f>mehrsprachigkeitBegriffsrückgabe(gewählteSpracheZurückgeben(),"/Product/Variant/")</f>
        <v>/Produkt/Variante/</v>
      </c>
      <c r="GQ7" s="22" t="str">
        <f>mehrsprachigkeitBegriffsrückgabe(gewählteSpracheZurückgeben(),"/Product/Variant/")</f>
        <v>/Produkt/Variante/</v>
      </c>
      <c r="GR7" s="22" t="str">
        <f>mehrsprachigkeitBegriffsrückgabe(gewählteSpracheZurückgeben(),"/Product/Variant/")</f>
        <v>/Produkt/Variante/</v>
      </c>
      <c r="GS7" s="22" t="str">
        <f>mehrsprachigkeitBegriffsrückgabe(gewählteSpracheZurückgeben(),"/Product/Variant/")</f>
        <v>/Produkt/Variante/</v>
      </c>
      <c r="GT7" s="22" t="str">
        <f>mehrsprachigkeitBegriffsrückgabe(gewählteSpracheZurückgeben(),"/Product/Variant/")</f>
        <v>/Produkt/Variante/</v>
      </c>
      <c r="GU7" s="22" t="str">
        <f>mehrsprachigkeitBegriffsrückgabe(gewählteSpracheZurückgeben(),"/Product/Variant/")</f>
        <v>/Produkt/Variante/</v>
      </c>
      <c r="GV7" s="22" t="str">
        <f>mehrsprachigkeitBegriffsrückgabe(gewählteSpracheZurückgeben(),"/Product/Variant/")</f>
        <v>/Produkt/Variante/</v>
      </c>
      <c r="GW7" s="22" t="str">
        <f>mehrsprachigkeitBegriffsrückgabe(gewählteSpracheZurückgeben(),"/Product/Variant/")</f>
        <v>/Produkt/Variante/</v>
      </c>
      <c r="GX7" s="22" t="str">
        <f>mehrsprachigkeitBegriffsrückgabe(gewählteSpracheZurückgeben(),"/Product/Variant/")</f>
        <v>/Produkt/Variante/</v>
      </c>
      <c r="GY7" s="22" t="str">
        <f>mehrsprachigkeitBegriffsrückgabe(gewählteSpracheZurückgeben(),"/Product/Variant/")</f>
        <v>/Produkt/Variante/</v>
      </c>
      <c r="GZ7" s="22" t="str">
        <f>mehrsprachigkeitBegriffsrückgabe(gewählteSpracheZurückgeben(),"/Product/Variant/")</f>
        <v>/Produkt/Variante/</v>
      </c>
      <c r="HA7" s="22" t="str">
        <f>mehrsprachigkeitBegriffsrückgabe(gewählteSpracheZurückgeben(),"/Product/Variant/")</f>
        <v>/Produkt/Variante/</v>
      </c>
      <c r="HB7" s="22" t="str">
        <f>mehrsprachigkeitBegriffsrückgabe(gewählteSpracheZurückgeben(),"/Product/Variant/")</f>
        <v>/Produkt/Variante/</v>
      </c>
      <c r="HC7" s="22" t="str">
        <f>mehrsprachigkeitBegriffsrückgabe(gewählteSpracheZurückgeben(),"/Product/Variant/")</f>
        <v>/Produkt/Variante/</v>
      </c>
      <c r="HD7" s="22" t="str">
        <f>mehrsprachigkeitBegriffsrückgabe(gewählteSpracheZurückgeben(),"/Product/Variant/")</f>
        <v>/Produkt/Variante/</v>
      </c>
      <c r="HE7" s="144"/>
      <c r="HF7" s="22" t="str">
        <f>mehrsprachigkeitBegriffsrückgabe(gewählteSpracheZurückgeben(),"/Product/Product (foreign language)/Variant/Variant (foreign language)/")</f>
        <v>/Produkt/Produkt (Fremdsprache)/Variante/Variante (Fremdsprache)/</v>
      </c>
      <c r="HG7" s="22" t="str">
        <f>mehrsprachigkeitBegriffsrückgabe(gewählteSpracheZurückgeben(),"/Product/Product (foreign language)/Variant/Variant (foreign language)/")</f>
        <v>/Produkt/Produkt (Fremdsprache)/Variante/Variante (Fremdsprache)/</v>
      </c>
      <c r="HH7" s="22" t="str">
        <f>mehrsprachigkeitBegriffsrückgabe(gewählteSpracheZurückgeben(),"/Product/")</f>
        <v>/Produkt/</v>
      </c>
      <c r="HI7" s="22" t="str">
        <f>mehrsprachigkeitBegriffsrückgabe(gewählteSpracheZurückgeben(),"/Product/")</f>
        <v>/Produkt/</v>
      </c>
      <c r="HJ7" s="22" t="str">
        <f>mehrsprachigkeitBegriffsrückgabe(gewählteSpracheZurückgeben(),"/Product/Product (foreign language)/")</f>
        <v>/Produkt/Produkt (Fremdsprache)/</v>
      </c>
      <c r="HK7" s="22" t="str">
        <f>mehrsprachigkeitBegriffsrückgabe(gewählteSpracheZurückgeben(),"/Product/Product (foreign language)/")</f>
        <v>/Produkt/Produkt (Fremdsprache)/</v>
      </c>
      <c r="HL7" s="144"/>
      <c r="HM7" s="23" t="str">
        <f>mehrsprachigkeitBegriffsrückgabe(gewählteSpracheZurückgeben(),"/Product/Variant/")</f>
        <v>/Produkt/Variante/</v>
      </c>
      <c r="HN7" s="24" t="str">
        <f>mehrsprachigkeitBegriffsrückgabe(gewählteSpracheZurückgeben(),"/Variant/")</f>
        <v>/Variante/</v>
      </c>
      <c r="HO7" s="144"/>
      <c r="HP7" s="24" t="str">
        <f>mehrsprachigkeitBegriffsrückgabe(gewählteSpracheZurückgeben(),"/Product/Variant/")</f>
        <v>/Produkt/Variante/</v>
      </c>
      <c r="HQ7" s="24" t="str">
        <f>mehrsprachigkeitBegriffsrückgabe(gewählteSpracheZurückgeben(),"/Product/Variant/")</f>
        <v>/Produkt/Variante/</v>
      </c>
      <c r="HR7" s="24" t="str">
        <f>mehrsprachigkeitBegriffsrückgabe(gewählteSpracheZurückgeben(),"/Product/Variant/")</f>
        <v>/Produkt/Variante/</v>
      </c>
      <c r="HS7" s="24" t="str">
        <f>mehrsprachigkeitBegriffsrückgabe(gewählteSpracheZurückgeben(),"/Product/Variant/")</f>
        <v>/Produkt/Variante/</v>
      </c>
      <c r="HT7" s="24" t="str">
        <f>mehrsprachigkeitBegriffsrückgabe(gewählteSpracheZurückgeben(),"/Product/Variant/")</f>
        <v>/Produkt/Variante/</v>
      </c>
      <c r="HU7" s="24" t="str">
        <f>mehrsprachigkeitBegriffsrückgabe(gewählteSpracheZurückgeben(),"/Product/Variant/")</f>
        <v>/Produkt/Variante/</v>
      </c>
      <c r="HV7" s="144"/>
      <c r="HW7" s="23" t="str">
        <f>mehrsprachigkeitBegriffsrückgabe(gewählteSpracheZurückgeben(),"/Product/Variant/")</f>
        <v>/Produkt/Variante/</v>
      </c>
      <c r="HX7" s="24" t="str">
        <f>mehrsprachigkeitBegriffsrückgabe(gewählteSpracheZurückgeben(),"/Variant/")</f>
        <v>/Variante/</v>
      </c>
      <c r="HY7" s="24" t="str">
        <f>mehrsprachigkeitBegriffsrückgabe(gewählteSpracheZurückgeben(),"/Product/Variant/")</f>
        <v>/Produkt/Variante/</v>
      </c>
      <c r="HZ7" s="144"/>
      <c r="IA7" s="23" t="str">
        <f>mehrsprachigkeitBegriffsrückgabe(gewählteSpracheZurückgeben(),"/Product/Variant/")</f>
        <v>/Produkt/Variante/</v>
      </c>
      <c r="IB7" s="23" t="str">
        <f>mehrsprachigkeitBegriffsrückgabe(gewählteSpracheZurückgeben(),"/Product/Variant/")</f>
        <v>/Produkt/Variante/</v>
      </c>
      <c r="IC7" s="23" t="str">
        <f>mehrsprachigkeitBegriffsrückgabe(gewählteSpracheZurückgeben(),"/Product/Variant/")</f>
        <v>/Produkt/Variante/</v>
      </c>
      <c r="ID7" s="24" t="str">
        <f>mehrsprachigkeitBegriffsrückgabe(gewählteSpracheZurückgeben(),"/Variant/")</f>
        <v>/Variante/</v>
      </c>
      <c r="IE7" s="24" t="str">
        <f>mehrsprachigkeitBegriffsrückgabe(gewählteSpracheZurückgeben(),"/Product/Variant/")</f>
        <v>/Produkt/Variante/</v>
      </c>
      <c r="IF7" s="24" t="str">
        <f>mehrsprachigkeitBegriffsrückgabe(gewählteSpracheZurückgeben(),"/Product/Variant/")</f>
        <v>/Produkt/Variante/</v>
      </c>
      <c r="IG7" s="24" t="str">
        <f>mehrsprachigkeitBegriffsrückgabe(gewählteSpracheZurückgeben(),"/Product/Variant/")</f>
        <v>/Produkt/Variante/</v>
      </c>
      <c r="IH7" s="24" t="str">
        <f>mehrsprachigkeitBegriffsrückgabe(gewählteSpracheZurückgeben(),"/Product/Variant/")</f>
        <v>/Produkt/Variante/</v>
      </c>
      <c r="II7" s="24" t="str">
        <f>mehrsprachigkeitBegriffsrückgabe(gewählteSpracheZurückgeben(),"/Product/Variant/")</f>
        <v>/Produkt/Variante/</v>
      </c>
      <c r="IJ7" s="24" t="str">
        <f>mehrsprachigkeitBegriffsrückgabe(gewählteSpracheZurückgeben(),"/Product/Variant/")</f>
        <v>/Produkt/Variante/</v>
      </c>
      <c r="IK7" s="23" t="str">
        <f>mehrsprachigkeitBegriffsrückgabe(gewählteSpracheZurückgeben(),"/Product/Variant/")</f>
        <v>/Produkt/Variante/</v>
      </c>
      <c r="IL7" s="24" t="str">
        <f>mehrsprachigkeitBegriffsrückgabe(gewählteSpracheZurückgeben(),"/Variant/")</f>
        <v>/Variante/</v>
      </c>
      <c r="IM7" s="24" t="str">
        <f>mehrsprachigkeitBegriffsrückgabe(gewählteSpracheZurückgeben(),"/Product/Variant/")</f>
        <v>/Produkt/Variante/</v>
      </c>
      <c r="IN7" s="144"/>
      <c r="IO7" s="23" t="str">
        <f>mehrsprachigkeitBegriffsrückgabe(gewählteSpracheZurückgeben(),"/Product/Variant/")</f>
        <v>/Produkt/Variante/</v>
      </c>
      <c r="IP7" s="23" t="str">
        <f>mehrsprachigkeitBegriffsrückgabe(gewählteSpracheZurückgeben(),"/Product/Variant/")</f>
        <v>/Produkt/Variante/</v>
      </c>
      <c r="IQ7" s="23" t="str">
        <f>mehrsprachigkeitBegriffsrückgabe(gewählteSpracheZurückgeben(),"/Product/Variant/")</f>
        <v>/Produkt/Variante/</v>
      </c>
      <c r="IR7" s="24" t="str">
        <f>mehrsprachigkeitBegriffsrückgabe(gewählteSpracheZurückgeben(),"/Variant/")</f>
        <v>/Variante/</v>
      </c>
      <c r="IS7" s="24" t="str">
        <f>mehrsprachigkeitBegriffsrückgabe(gewählteSpracheZurückgeben(),"/Product/Variant/")</f>
        <v>/Produkt/Variante/</v>
      </c>
      <c r="IT7" s="24" t="str">
        <f>mehrsprachigkeitBegriffsrückgabe(gewählteSpracheZurückgeben(),"/Product/Variant/")</f>
        <v>/Produkt/Variante/</v>
      </c>
      <c r="IU7" s="24" t="str">
        <f>mehrsprachigkeitBegriffsrückgabe(gewählteSpracheZurückgeben(),"/Product/Variant/")</f>
        <v>/Produkt/Variante/</v>
      </c>
      <c r="IV7" s="24" t="str">
        <f>mehrsprachigkeitBegriffsrückgabe(gewählteSpracheZurückgeben(),"/Product/Variant/")</f>
        <v>/Produkt/Variante/</v>
      </c>
      <c r="IW7" s="24" t="str">
        <f>mehrsprachigkeitBegriffsrückgabe(gewählteSpracheZurückgeben(),"/Product/Variant/")</f>
        <v>/Produkt/Variante/</v>
      </c>
      <c r="IX7" s="24" t="str">
        <f>mehrsprachigkeitBegriffsrückgabe(gewählteSpracheZurückgeben(),"/Product/Variant/")</f>
        <v>/Produkt/Variante/</v>
      </c>
      <c r="IY7" s="23" t="str">
        <f>mehrsprachigkeitBegriffsrückgabe(gewählteSpracheZurückgeben(),"/Product/Variant/")</f>
        <v>/Produkt/Variante/</v>
      </c>
      <c r="IZ7" s="24" t="str">
        <f>mehrsprachigkeitBegriffsrückgabe(gewählteSpracheZurückgeben(),"/Variant/")</f>
        <v>/Variante/</v>
      </c>
      <c r="JA7" s="24" t="str">
        <f>mehrsprachigkeitBegriffsrückgabe(gewählteSpracheZurückgeben(),"/Product/Variant/")</f>
        <v>/Produkt/Variante/</v>
      </c>
      <c r="JB7" s="144"/>
      <c r="JC7" s="23" t="str">
        <f>mehrsprachigkeitBegriffsrückgabe(gewählteSpracheZurückgeben(),"/Product/Variant/")</f>
        <v>/Produkt/Variante/</v>
      </c>
      <c r="JD7" s="23" t="str">
        <f>mehrsprachigkeitBegriffsrückgabe(gewählteSpracheZurückgeben(),"/Product/Variant/")</f>
        <v>/Produkt/Variante/</v>
      </c>
      <c r="JE7" s="23" t="str">
        <f>mehrsprachigkeitBegriffsrückgabe(gewählteSpracheZurückgeben(),"/Product/Variant/")</f>
        <v>/Produkt/Variante/</v>
      </c>
      <c r="JF7" s="24" t="str">
        <f>mehrsprachigkeitBegriffsrückgabe(gewählteSpracheZurückgeben(),"/Variant/")</f>
        <v>/Variante/</v>
      </c>
      <c r="JG7" s="24" t="str">
        <f>mehrsprachigkeitBegriffsrückgabe(gewählteSpracheZurückgeben(),"/Product/Variant/")</f>
        <v>/Produkt/Variante/</v>
      </c>
      <c r="JH7" s="24" t="str">
        <f>mehrsprachigkeitBegriffsrückgabe(gewählteSpracheZurückgeben(),"/Product/Variant/")</f>
        <v>/Produkt/Variante/</v>
      </c>
      <c r="JI7" s="24" t="str">
        <f>mehrsprachigkeitBegriffsrückgabe(gewählteSpracheZurückgeben(),"/Product/Variant/")</f>
        <v>/Produkt/Variante/</v>
      </c>
      <c r="JJ7" s="24" t="str">
        <f>mehrsprachigkeitBegriffsrückgabe(gewählteSpracheZurückgeben(),"/Product/Variant/")</f>
        <v>/Produkt/Variante/</v>
      </c>
      <c r="JK7" s="24" t="str">
        <f>mehrsprachigkeitBegriffsrückgabe(gewählteSpracheZurückgeben(),"/Product/Variant/")</f>
        <v>/Produkt/Variante/</v>
      </c>
      <c r="JL7" s="24" t="str">
        <f>mehrsprachigkeitBegriffsrückgabe(gewählteSpracheZurückgeben(),"/Product/Variant/")</f>
        <v>/Produkt/Variante/</v>
      </c>
      <c r="JM7" s="23" t="str">
        <f>mehrsprachigkeitBegriffsrückgabe(gewählteSpracheZurückgeben(),"/Product/Variant/")</f>
        <v>/Produkt/Variante/</v>
      </c>
      <c r="JN7" s="24" t="str">
        <f>mehrsprachigkeitBegriffsrückgabe(gewählteSpracheZurückgeben(),"/Variant/")</f>
        <v>/Variante/</v>
      </c>
      <c r="JO7" s="24" t="str">
        <f>mehrsprachigkeitBegriffsrückgabe(gewählteSpracheZurückgeben(),"/Product/Variant/")</f>
        <v>/Produkt/Variante/</v>
      </c>
      <c r="JP7" s="144"/>
      <c r="JQ7" s="23" t="str">
        <f>mehrsprachigkeitBegriffsrückgabe(gewählteSpracheZurückgeben(),"/Product/Variant/")</f>
        <v>/Produkt/Variante/</v>
      </c>
      <c r="JR7" s="23" t="str">
        <f>mehrsprachigkeitBegriffsrückgabe(gewählteSpracheZurückgeben(),"/Product/Variant/")</f>
        <v>/Produkt/Variante/</v>
      </c>
      <c r="JS7" s="23" t="str">
        <f>mehrsprachigkeitBegriffsrückgabe(gewählteSpracheZurückgeben(),"/Product/Variant/")</f>
        <v>/Produkt/Variante/</v>
      </c>
      <c r="JT7" s="24" t="str">
        <f>mehrsprachigkeitBegriffsrückgabe(gewählteSpracheZurückgeben(),"/Variant/")</f>
        <v>/Variante/</v>
      </c>
      <c r="JU7" s="24" t="str">
        <f>mehrsprachigkeitBegriffsrückgabe(gewählteSpracheZurückgeben(),"/Product/Variant/")</f>
        <v>/Produkt/Variante/</v>
      </c>
      <c r="JV7" s="24" t="str">
        <f>mehrsprachigkeitBegriffsrückgabe(gewählteSpracheZurückgeben(),"/Product/Variant/")</f>
        <v>/Produkt/Variante/</v>
      </c>
      <c r="JW7" s="24" t="str">
        <f>mehrsprachigkeitBegriffsrückgabe(gewählteSpracheZurückgeben(),"/Product/Variant/")</f>
        <v>/Produkt/Variante/</v>
      </c>
      <c r="JX7" s="24" t="str">
        <f>mehrsprachigkeitBegriffsrückgabe(gewählteSpracheZurückgeben(),"/Product/Variant/")</f>
        <v>/Produkt/Variante/</v>
      </c>
      <c r="JY7" s="24" t="str">
        <f>mehrsprachigkeitBegriffsrückgabe(gewählteSpracheZurückgeben(),"/Product/Variant/")</f>
        <v>/Produkt/Variante/</v>
      </c>
      <c r="JZ7" s="24" t="str">
        <f>mehrsprachigkeitBegriffsrückgabe(gewählteSpracheZurückgeben(),"/Product/Variant/")</f>
        <v>/Produkt/Variante/</v>
      </c>
      <c r="KA7" s="23" t="str">
        <f>mehrsprachigkeitBegriffsrückgabe(gewählteSpracheZurückgeben(),"/Product/Variant/")</f>
        <v>/Produkt/Variante/</v>
      </c>
      <c r="KB7" s="24" t="str">
        <f>mehrsprachigkeitBegriffsrückgabe(gewählteSpracheZurückgeben(),"/Variant/")</f>
        <v>/Variante/</v>
      </c>
      <c r="KC7" s="24" t="str">
        <f>mehrsprachigkeitBegriffsrückgabe(gewählteSpracheZurückgeben(),"/Product/Variant/")</f>
        <v>/Produkt/Variante/</v>
      </c>
      <c r="KD7" s="144"/>
      <c r="KE7" s="23" t="str">
        <f>mehrsprachigkeitBegriffsrückgabe(gewählteSpracheZurückgeben(),"/Product/Variant/")</f>
        <v>/Produkt/Variante/</v>
      </c>
      <c r="KF7" s="23" t="str">
        <f>mehrsprachigkeitBegriffsrückgabe(gewählteSpracheZurückgeben(),"/Product/Variant/")</f>
        <v>/Produkt/Variante/</v>
      </c>
      <c r="KG7" s="23" t="str">
        <f>mehrsprachigkeitBegriffsrückgabe(gewählteSpracheZurückgeben(),"/Product/Variant/")</f>
        <v>/Produkt/Variante/</v>
      </c>
      <c r="KH7" s="24" t="str">
        <f>mehrsprachigkeitBegriffsrückgabe(gewählteSpracheZurückgeben(),"/Variant/")</f>
        <v>/Variante/</v>
      </c>
      <c r="KI7" s="24" t="str">
        <f>mehrsprachigkeitBegriffsrückgabe(gewählteSpracheZurückgeben(),"/Product/Variant/")</f>
        <v>/Produkt/Variante/</v>
      </c>
      <c r="KJ7" s="24" t="str">
        <f>mehrsprachigkeitBegriffsrückgabe(gewählteSpracheZurückgeben(),"/Product/Variant/")</f>
        <v>/Produkt/Variante/</v>
      </c>
      <c r="KK7" s="24" t="str">
        <f>mehrsprachigkeitBegriffsrückgabe(gewählteSpracheZurückgeben(),"/Product/Variant/")</f>
        <v>/Produkt/Variante/</v>
      </c>
      <c r="KL7" s="24" t="str">
        <f>mehrsprachigkeitBegriffsrückgabe(gewählteSpracheZurückgeben(),"/Product/Variant/")</f>
        <v>/Produkt/Variante/</v>
      </c>
      <c r="KM7" s="24" t="str">
        <f>mehrsprachigkeitBegriffsrückgabe(gewählteSpracheZurückgeben(),"/Product/Variant/")</f>
        <v>/Produkt/Variante/</v>
      </c>
      <c r="KN7" s="24" t="str">
        <f>mehrsprachigkeitBegriffsrückgabe(gewählteSpracheZurückgeben(),"/Product/Variant/")</f>
        <v>/Produkt/Variante/</v>
      </c>
      <c r="KO7" s="23" t="str">
        <f>mehrsprachigkeitBegriffsrückgabe(gewählteSpracheZurückgeben(),"/Product/Variant/")</f>
        <v>/Produkt/Variante/</v>
      </c>
      <c r="KP7" s="24" t="str">
        <f>mehrsprachigkeitBegriffsrückgabe(gewählteSpracheZurückgeben(),"/Variant/")</f>
        <v>/Variante/</v>
      </c>
      <c r="KQ7" s="24" t="str">
        <f>mehrsprachigkeitBegriffsrückgabe(gewählteSpracheZurückgeben(),"/Product/Variant/")</f>
        <v>/Produkt/Variante/</v>
      </c>
      <c r="KR7" s="144"/>
      <c r="KS7" s="22" t="str">
        <f>mehrsprachigkeitBegriffsrückgabe(gewählteSpracheZurückgeben(),"/Product/")</f>
        <v>/Produkt/</v>
      </c>
      <c r="KT7" s="25" t="str">
        <f>mehrsprachigkeitBegriffsrückgabe(gewählteSpracheZurückgeben(),"/Product/Variant/")</f>
        <v>/Produkt/Variante/</v>
      </c>
      <c r="KU7" s="24" t="str">
        <f>mehrsprachigkeitBegriffsrückgabe(gewählteSpracheZurückgeben(),"/Variant/")</f>
        <v>/Variante/</v>
      </c>
      <c r="KV7" s="22" t="str">
        <f>mehrsprachigkeitBegriffsrückgabe(gewählteSpracheZurückgeben(),"/Product/Product (foreign language)/Variant/Variant (foreign language)/")</f>
        <v>/Produkt/Produkt (Fremdsprache)/Variante/Variante (Fremdsprache)/</v>
      </c>
      <c r="KW7" s="22" t="str">
        <f>mehrsprachigkeitBegriffsrückgabe(gewählteSpracheZurückgeben(),"/Product/Product (foreign language)/Variant/Variant (foreign language)/")</f>
        <v>/Produkt/Produkt (Fremdsprache)/Variante/Variante (Fremdsprache)/</v>
      </c>
      <c r="KX7" s="26" t="str">
        <f>mehrsprachigkeitBegriffsrückgabe(gewählteSpracheZurückgeben(),"/Product/Variant/")</f>
        <v>/Produkt/Variante/</v>
      </c>
      <c r="KY7" s="27" t="str">
        <f>mehrsprachigkeitBegriffsrückgabe(gewählteSpracheZurückgeben(),"/Product/")</f>
        <v>/Produkt/</v>
      </c>
      <c r="KZ7" s="27" t="str">
        <f>mehrsprachigkeitBegriffsrückgabe(gewählteSpracheZurückgeben(),"/Product/Variant/")</f>
        <v>/Produkt/Variante/</v>
      </c>
      <c r="LA7" s="22" t="str">
        <f>mehrsprachigkeitBegriffsrückgabe(gewählteSpracheZurückgeben(),"/Product/Product (foreign language)/Variant/Variant (foreign language)/")</f>
        <v>/Produkt/Produkt (Fremdsprache)/Variante/Variante (Fremdsprache)/</v>
      </c>
      <c r="LB7" s="27" t="str">
        <f>mehrsprachigkeitBegriffsrückgabe(gewählteSpracheZurückgeben(),"/Product/Variant/")</f>
        <v>/Produkt/Variante/</v>
      </c>
      <c r="LC7" s="85" t="str">
        <f>mehrsprachigkeitBegriffsrückgabe(gewählteSpracheZurückgeben(),"/Product/")</f>
        <v>/Produkt/</v>
      </c>
      <c r="LD7" s="85" t="str">
        <f>mehrsprachigkeitBegriffsrückgabe(gewählteSpracheZurückgeben(),"/Product/")</f>
        <v>/Produkt/</v>
      </c>
      <c r="LE7" s="48" t="str">
        <f>mehrsprachigkeitBegriffsrückgabe(gewählteSpracheZurückgeben(),"/Product/Product (foreign language)/")</f>
        <v>/Produkt/Produkt (Fremdsprache)/</v>
      </c>
      <c r="LF7" s="58" t="str">
        <f>mehrsprachigkeitBegriffsrückgabe(gewählteSpracheZurückgeben(),"/Product/Variant/")</f>
        <v>/Produkt/Variante/</v>
      </c>
      <c r="LG7" s="58" t="str">
        <f>mehrsprachigkeitBegriffsrückgabe(gewählteSpracheZurückgeben(),"/Product/Variant/")</f>
        <v>/Produkt/Variante/</v>
      </c>
      <c r="LH7" s="22" t="str">
        <f>mehrsprachigkeitBegriffsrückgabe(gewählteSpracheZurückgeben(),"/Product/Variant/")</f>
        <v>/Produkt/Variante/</v>
      </c>
      <c r="LI7" s="22" t="str">
        <f>mehrsprachigkeitBegriffsrückgabe(gewählteSpracheZurückgeben(),"/Product/Variant/")</f>
        <v>/Produkt/Variante/</v>
      </c>
      <c r="LJ7" s="168" t="str">
        <f>mehrsprachigkeitBegriffsrückgabe(gewählteSpracheZurückgeben(),"/Variant/")</f>
        <v>/Variante/</v>
      </c>
      <c r="LK7" s="168" t="str">
        <f>mehrsprachigkeitBegriffsrückgabe(gewählteSpracheZurückgeben(),"/Product/Variant/")</f>
        <v>/Produkt/Variante/</v>
      </c>
      <c r="LL7" s="168" t="str">
        <f>mehrsprachigkeitBegriffsrückgabe(gewählteSpracheZurückgeben(),"/Product/Variant/")</f>
        <v>/Produkt/Variante/</v>
      </c>
      <c r="LM7" s="158" t="str">
        <f>mehrsprachigkeitBegriffsrückgabe(gewählteSpracheZurückgeben(),"/Product/Variant/")</f>
        <v>/Produkt/Variante/</v>
      </c>
      <c r="LN7" s="22" t="str">
        <f>mehrsprachigkeitBegriffsrückgabe(gewählteSpracheZurückgeben(),"/Product/")</f>
        <v>/Produkt/</v>
      </c>
      <c r="LO7" s="25" t="str">
        <f>mehrsprachigkeitBegriffsrückgabe(gewählteSpracheZurückgeben(),"/Product/Variant/")</f>
        <v>/Produkt/Variante/</v>
      </c>
      <c r="LP7" s="22" t="str">
        <f>mehrsprachigkeitBegriffsrückgabe(gewählteSpracheZurückgeben(),"/Product/")</f>
        <v>/Produkt/</v>
      </c>
      <c r="LQ7" s="144"/>
      <c r="LR7" s="22" t="str">
        <f>mehrsprachigkeitBegriffsrückgabe(gewählteSpracheZurückgeben(),"/Product/Product (foreign language)/Variant/Variant (foreign language)/")</f>
        <v>/Produkt/Produkt (Fremdsprache)/Variante/Variante (Fremdsprache)/</v>
      </c>
      <c r="LS7" s="22" t="str">
        <f>mehrsprachigkeitBegriffsrückgabe(gewählteSpracheZurückgeben(),"/Product/Product (foreign language)/Variant/Variant (foreign language)/")</f>
        <v>/Produkt/Produkt (Fremdsprache)/Variante/Variante (Fremdsprache)/</v>
      </c>
      <c r="LT7" s="22" t="str">
        <f>mehrsprachigkeitBegriffsrückgabe(gewählteSpracheZurückgeben(),"/Product/Product (foreign language)/Variant/Variant (foreign language)/")</f>
        <v>/Produkt/Produkt (Fremdsprache)/Variante/Variante (Fremdsprache)/</v>
      </c>
      <c r="LU7" s="22" t="str">
        <f>mehrsprachigkeitBegriffsrückgabe(gewählteSpracheZurückgeben(),"/Product/Product (foreign language)/Variant/Variant (foreign language)/")</f>
        <v>/Produkt/Produkt (Fremdsprache)/Variante/Variante (Fremdsprache)/</v>
      </c>
      <c r="LV7" s="22" t="str">
        <f>mehrsprachigkeitBegriffsrückgabe(gewählteSpracheZurückgeben(),"/Product/Product (foreign language)/Variant/Variant (foreign language)/")</f>
        <v>/Produkt/Produkt (Fremdsprache)/Variante/Variante (Fremdsprache)/</v>
      </c>
      <c r="LW7" s="22" t="str">
        <f>mehrsprachigkeitBegriffsrückgabe(gewählteSpracheZurückgeben(),"/Product/Product (foreign language)/Variant/Variant (foreign language)/")</f>
        <v>/Produkt/Produkt (Fremdsprache)/Variante/Variante (Fremdsprache)/</v>
      </c>
      <c r="LX7" s="22" t="str">
        <f>mehrsprachigkeitBegriffsrückgabe(gewählteSpracheZurückgeben(),"/Product/Product (foreign language)/Variant/Variant (foreign language)/")</f>
        <v>/Produkt/Produkt (Fremdsprache)/Variante/Variante (Fremdsprache)/</v>
      </c>
      <c r="LY7" s="22" t="str">
        <f>mehrsprachigkeitBegriffsrückgabe(gewählteSpracheZurückgeben(),"/Product/Product (foreign language)/Variant/Variant (foreign language)/")</f>
        <v>/Produkt/Produkt (Fremdsprache)/Variante/Variante (Fremdsprache)/</v>
      </c>
      <c r="LZ7" s="22" t="str">
        <f>mehrsprachigkeitBegriffsrückgabe(gewählteSpracheZurückgeben(),"/Product/Product (foreign language)/Variant/Variant (foreign language)/")</f>
        <v>/Produkt/Produkt (Fremdsprache)/Variante/Variante (Fremdsprache)/</v>
      </c>
      <c r="MA7" s="22" t="str">
        <f>mehrsprachigkeitBegriffsrückgabe(gewählteSpracheZurückgeben(),"/Product/Product (foreign language)/Variant/Variant (foreign language)/")</f>
        <v>/Produkt/Produkt (Fremdsprache)/Variante/Variante (Fremdsprache)/</v>
      </c>
      <c r="MB7" s="144"/>
      <c r="MC7" s="22" t="str">
        <f>mehrsprachigkeitBegriffsrückgabe(gewählteSpracheZurückgeben(),"/Product/Product (foreign language)/Variant/Variant (foreign language)/")</f>
        <v>/Produkt/Produkt (Fremdsprache)/Variante/Variante (Fremdsprache)/</v>
      </c>
      <c r="MD7" s="22" t="str">
        <f>mehrsprachigkeitBegriffsrückgabe(gewählteSpracheZurückgeben(),"/Product/Product (foreign language)/Variant/Variant (foreign language)/")</f>
        <v>/Produkt/Produkt (Fremdsprache)/Variante/Variante (Fremdsprache)/</v>
      </c>
      <c r="ME7" s="22" t="str">
        <f>mehrsprachigkeitBegriffsrückgabe(gewählteSpracheZurückgeben(),"/Product/Product (foreign language)/Variant/Variant (foreign language)/")</f>
        <v>/Produkt/Produkt (Fremdsprache)/Variante/Variante (Fremdsprache)/</v>
      </c>
      <c r="MF7" s="22" t="str">
        <f>mehrsprachigkeitBegriffsrückgabe(gewählteSpracheZurückgeben(),"/Product/Product (foreign language)/Variant/Variant (foreign language)/")</f>
        <v>/Produkt/Produkt (Fremdsprache)/Variante/Variante (Fremdsprache)/</v>
      </c>
      <c r="MG7" s="22" t="str">
        <f>mehrsprachigkeitBegriffsrückgabe(gewählteSpracheZurückgeben(),"/Product/Product (foreign language)/Variant/Variant (foreign language)/")</f>
        <v>/Produkt/Produkt (Fremdsprache)/Variante/Variante (Fremdsprache)/</v>
      </c>
      <c r="MH7" s="22" t="str">
        <f>mehrsprachigkeitBegriffsrückgabe(gewählteSpracheZurückgeben(),"/Product/Product (foreign language)/Variant/Variant (foreign language)/")</f>
        <v>/Produkt/Produkt (Fremdsprache)/Variante/Variante (Fremdsprache)/</v>
      </c>
      <c r="MI7" s="22" t="str">
        <f>mehrsprachigkeitBegriffsrückgabe(gewählteSpracheZurückgeben(),"/Product/Product (foreign language)/Variant/Variant (foreign language)/")</f>
        <v>/Produkt/Produkt (Fremdsprache)/Variante/Variante (Fremdsprache)/</v>
      </c>
      <c r="MJ7" s="22" t="str">
        <f>mehrsprachigkeitBegriffsrückgabe(gewählteSpracheZurückgeben(),"/Product/Product (foreign language)/Variant/Variant (foreign language)/")</f>
        <v>/Produkt/Produkt (Fremdsprache)/Variante/Variante (Fremdsprache)/</v>
      </c>
      <c r="MK7" s="22" t="str">
        <f>mehrsprachigkeitBegriffsrückgabe(gewählteSpracheZurückgeben(),"/Product/Product (foreign language)/Variant/Variant (foreign language)/")</f>
        <v>/Produkt/Produkt (Fremdsprache)/Variante/Variante (Fremdsprache)/</v>
      </c>
      <c r="ML7" s="22" t="str">
        <f>mehrsprachigkeitBegriffsrückgabe(gewählteSpracheZurückgeben(),"/Product/Product (foreign language)/Variant/Variant (foreign language)/")</f>
        <v>/Produkt/Produkt (Fremdsprache)/Variante/Variante (Fremdsprache)/</v>
      </c>
    </row>
    <row r="8" spans="1:350" s="28" customFormat="1" ht="22.5" hidden="1" customHeight="1" x14ac:dyDescent="0.25">
      <c r="E8" s="144" t="s">
        <v>139</v>
      </c>
      <c r="F8" s="28" t="s">
        <v>76</v>
      </c>
      <c r="H8" s="59"/>
      <c r="L8" s="144" t="s">
        <v>139</v>
      </c>
      <c r="N8" s="159"/>
      <c r="HE8" s="144" t="s">
        <v>139</v>
      </c>
      <c r="HL8" s="144" t="s">
        <v>139</v>
      </c>
      <c r="HM8" s="29"/>
      <c r="HN8" s="30" t="s">
        <v>76</v>
      </c>
      <c r="HO8" s="144" t="s">
        <v>139</v>
      </c>
      <c r="HP8" s="30"/>
      <c r="HQ8" s="30" t="s">
        <v>76</v>
      </c>
      <c r="HR8" s="30" t="s">
        <v>76</v>
      </c>
      <c r="HS8" s="30"/>
      <c r="HT8" s="30"/>
      <c r="HU8" s="30"/>
      <c r="HV8" s="144" t="s">
        <v>139</v>
      </c>
      <c r="HW8" s="29"/>
      <c r="HX8" s="30" t="s">
        <v>76</v>
      </c>
      <c r="HY8" s="30"/>
      <c r="HZ8" s="144" t="s">
        <v>139</v>
      </c>
      <c r="IC8" s="29"/>
      <c r="ID8" s="30" t="s">
        <v>76</v>
      </c>
      <c r="IE8" s="30"/>
      <c r="IF8" s="30" t="s">
        <v>76</v>
      </c>
      <c r="IG8" s="30" t="s">
        <v>76</v>
      </c>
      <c r="IH8" s="30"/>
      <c r="II8" s="30"/>
      <c r="IJ8" s="30"/>
      <c r="IK8" s="29"/>
      <c r="IL8" s="30" t="s">
        <v>76</v>
      </c>
      <c r="IM8" s="30"/>
      <c r="IN8" s="144" t="s">
        <v>139</v>
      </c>
      <c r="IQ8" s="29"/>
      <c r="IR8" s="30" t="s">
        <v>76</v>
      </c>
      <c r="IS8" s="30"/>
      <c r="IT8" s="30" t="s">
        <v>76</v>
      </c>
      <c r="IU8" s="30" t="s">
        <v>76</v>
      </c>
      <c r="IV8" s="30"/>
      <c r="IW8" s="30"/>
      <c r="IX8" s="30"/>
      <c r="IY8" s="29"/>
      <c r="IZ8" s="30" t="s">
        <v>76</v>
      </c>
      <c r="JA8" s="30"/>
      <c r="JB8" s="144" t="s">
        <v>139</v>
      </c>
      <c r="JE8" s="29"/>
      <c r="JF8" s="30" t="s">
        <v>76</v>
      </c>
      <c r="JG8" s="30"/>
      <c r="JH8" s="30" t="s">
        <v>76</v>
      </c>
      <c r="JI8" s="30" t="s">
        <v>76</v>
      </c>
      <c r="JJ8" s="30"/>
      <c r="JK8" s="30"/>
      <c r="JL8" s="30"/>
      <c r="JM8" s="29"/>
      <c r="JN8" s="30" t="s">
        <v>76</v>
      </c>
      <c r="JO8" s="30"/>
      <c r="JP8" s="144" t="s">
        <v>139</v>
      </c>
      <c r="JS8" s="29"/>
      <c r="JT8" s="30" t="s">
        <v>76</v>
      </c>
      <c r="JU8" s="30"/>
      <c r="JV8" s="30" t="s">
        <v>76</v>
      </c>
      <c r="JW8" s="30" t="s">
        <v>76</v>
      </c>
      <c r="JX8" s="30"/>
      <c r="JY8" s="30"/>
      <c r="JZ8" s="30"/>
      <c r="KA8" s="29"/>
      <c r="KB8" s="30" t="s">
        <v>76</v>
      </c>
      <c r="KC8" s="30"/>
      <c r="KD8" s="144" t="s">
        <v>139</v>
      </c>
      <c r="KG8" s="29"/>
      <c r="KH8" s="30" t="s">
        <v>76</v>
      </c>
      <c r="KI8" s="30"/>
      <c r="KJ8" s="30" t="s">
        <v>76</v>
      </c>
      <c r="KK8" s="30" t="s">
        <v>76</v>
      </c>
      <c r="KL8" s="30"/>
      <c r="KM8" s="30"/>
      <c r="KN8" s="30"/>
      <c r="KO8" s="29"/>
      <c r="KP8" s="30" t="s">
        <v>76</v>
      </c>
      <c r="KQ8" s="30"/>
      <c r="KR8" s="144" t="s">
        <v>139</v>
      </c>
      <c r="KT8" s="31"/>
      <c r="KU8" s="30" t="s">
        <v>76</v>
      </c>
      <c r="KX8" s="32"/>
      <c r="KY8" s="33"/>
      <c r="KZ8" s="33"/>
      <c r="LA8" s="33"/>
      <c r="LB8" s="33"/>
      <c r="LC8" s="86"/>
      <c r="LD8" s="86"/>
      <c r="LE8" s="49"/>
      <c r="LF8" s="59"/>
      <c r="LG8" s="59"/>
      <c r="LJ8" s="169"/>
      <c r="LK8" s="169"/>
      <c r="LL8" s="169"/>
      <c r="LM8" s="159"/>
      <c r="LQ8" s="144" t="s">
        <v>139</v>
      </c>
      <c r="MB8" s="144" t="s">
        <v>139</v>
      </c>
    </row>
    <row r="9" spans="1:350" s="62" customFormat="1" ht="20.25" hidden="1" customHeight="1" x14ac:dyDescent="0.25">
      <c r="A9" s="63" t="s">
        <v>138</v>
      </c>
      <c r="B9" s="62" t="s">
        <v>72</v>
      </c>
      <c r="C9" s="63" t="s">
        <v>910</v>
      </c>
      <c r="E9" s="144"/>
      <c r="L9" s="144"/>
      <c r="N9" s="160"/>
      <c r="HE9" s="144"/>
      <c r="HL9" s="144"/>
      <c r="HM9" s="64"/>
      <c r="HN9" s="65"/>
      <c r="HO9" s="144"/>
      <c r="HP9" s="65"/>
      <c r="HQ9" s="65"/>
      <c r="HR9" s="65"/>
      <c r="HS9" s="65"/>
      <c r="HT9" s="65"/>
      <c r="HU9" s="65"/>
      <c r="HV9" s="144"/>
      <c r="HW9" s="64"/>
      <c r="HX9" s="65"/>
      <c r="HY9" s="65"/>
      <c r="HZ9" s="144"/>
      <c r="IC9" s="64"/>
      <c r="ID9" s="65"/>
      <c r="IE9" s="65"/>
      <c r="IF9" s="65"/>
      <c r="IG9" s="65"/>
      <c r="IH9" s="65"/>
      <c r="II9" s="65"/>
      <c r="IJ9" s="65"/>
      <c r="IK9" s="64"/>
      <c r="IL9" s="65"/>
      <c r="IM9" s="65"/>
      <c r="IN9" s="144"/>
      <c r="IQ9" s="64"/>
      <c r="IR9" s="65"/>
      <c r="IS9" s="65"/>
      <c r="IT9" s="65"/>
      <c r="IU9" s="65"/>
      <c r="IV9" s="65"/>
      <c r="IW9" s="65"/>
      <c r="IX9" s="65"/>
      <c r="IY9" s="64"/>
      <c r="IZ9" s="65"/>
      <c r="JA9" s="65"/>
      <c r="JB9" s="144"/>
      <c r="JE9" s="64"/>
      <c r="JF9" s="65"/>
      <c r="JG9" s="65"/>
      <c r="JH9" s="65"/>
      <c r="JI9" s="65"/>
      <c r="JJ9" s="65"/>
      <c r="JK9" s="65"/>
      <c r="JL9" s="65"/>
      <c r="JM9" s="64"/>
      <c r="JN9" s="65"/>
      <c r="JO9" s="65"/>
      <c r="JP9" s="144"/>
      <c r="JS9" s="64"/>
      <c r="JT9" s="65"/>
      <c r="JU9" s="65"/>
      <c r="JV9" s="65"/>
      <c r="JW9" s="65"/>
      <c r="JX9" s="65"/>
      <c r="JY9" s="65"/>
      <c r="JZ9" s="65"/>
      <c r="KA9" s="64"/>
      <c r="KB9" s="65"/>
      <c r="KC9" s="65"/>
      <c r="KD9" s="144"/>
      <c r="KG9" s="64"/>
      <c r="KH9" s="65"/>
      <c r="KI9" s="65"/>
      <c r="KJ9" s="65"/>
      <c r="KK9" s="65"/>
      <c r="KL9" s="65"/>
      <c r="KM9" s="65"/>
      <c r="KN9" s="65"/>
      <c r="KO9" s="64"/>
      <c r="KP9" s="65"/>
      <c r="KQ9" s="65"/>
      <c r="KR9" s="144"/>
      <c r="KT9" s="66"/>
      <c r="KU9" s="65"/>
      <c r="KX9" s="67"/>
      <c r="KY9" s="68"/>
      <c r="KZ9" s="68"/>
      <c r="LA9" s="68"/>
      <c r="LB9" s="68"/>
      <c r="LC9" s="87"/>
      <c r="LD9" s="87"/>
      <c r="LE9" s="69"/>
      <c r="LF9" s="63"/>
      <c r="LG9" s="63"/>
      <c r="LJ9" s="170"/>
      <c r="LK9" s="170"/>
      <c r="LL9" s="170"/>
      <c r="LM9" s="160"/>
      <c r="LQ9" s="144"/>
      <c r="MB9" s="144"/>
    </row>
    <row r="10" spans="1:350" s="34" customFormat="1" ht="20.25" hidden="1" customHeight="1" x14ac:dyDescent="0.25">
      <c r="A10" s="34" t="s">
        <v>89</v>
      </c>
      <c r="B10" s="34" t="s">
        <v>0</v>
      </c>
      <c r="C10" s="34" t="s">
        <v>1</v>
      </c>
      <c r="D10" s="34" t="s">
        <v>2</v>
      </c>
      <c r="E10" s="144" t="s">
        <v>140</v>
      </c>
      <c r="F10" s="34" t="s">
        <v>3</v>
      </c>
      <c r="G10" s="34" t="s">
        <v>4</v>
      </c>
      <c r="H10" s="60" t="s">
        <v>5</v>
      </c>
      <c r="I10" s="34" t="s">
        <v>6</v>
      </c>
      <c r="J10" s="34" t="s">
        <v>7</v>
      </c>
      <c r="K10" s="34" t="s">
        <v>136</v>
      </c>
      <c r="L10" s="144" t="s">
        <v>141</v>
      </c>
      <c r="M10" s="34" t="s">
        <v>8</v>
      </c>
      <c r="N10" s="161" t="s">
        <v>9</v>
      </c>
      <c r="O10" s="34" t="s">
        <v>10</v>
      </c>
      <c r="P10" s="34" t="s">
        <v>11</v>
      </c>
      <c r="Q10" s="34" t="s">
        <v>12</v>
      </c>
      <c r="R10" s="34" t="s">
        <v>13</v>
      </c>
      <c r="S10" s="34" t="s">
        <v>14</v>
      </c>
      <c r="T10" s="34" t="s">
        <v>15</v>
      </c>
      <c r="U10" s="34" t="s">
        <v>16</v>
      </c>
      <c r="V10" s="34" t="s">
        <v>17</v>
      </c>
      <c r="W10" s="34" t="s">
        <v>18</v>
      </c>
      <c r="X10" s="34" t="s">
        <v>19</v>
      </c>
      <c r="Y10" s="34" t="s">
        <v>20</v>
      </c>
      <c r="Z10" s="34" t="s">
        <v>21</v>
      </c>
      <c r="AA10" s="34" t="s">
        <v>22</v>
      </c>
      <c r="AB10" s="34" t="s">
        <v>23</v>
      </c>
      <c r="AC10" s="34" t="s">
        <v>24</v>
      </c>
      <c r="AD10" s="34" t="s">
        <v>25</v>
      </c>
      <c r="AE10" s="34" t="s">
        <v>26</v>
      </c>
      <c r="AF10" s="34" t="s">
        <v>27</v>
      </c>
      <c r="AG10" s="34" t="s">
        <v>28</v>
      </c>
      <c r="AH10" s="34" t="s">
        <v>29</v>
      </c>
      <c r="AI10" s="34" t="s">
        <v>30</v>
      </c>
      <c r="AJ10" s="34" t="s">
        <v>31</v>
      </c>
      <c r="AK10" s="34" t="s">
        <v>32</v>
      </c>
      <c r="AL10" s="34" t="s">
        <v>33</v>
      </c>
      <c r="AM10" s="34" t="s">
        <v>34</v>
      </c>
      <c r="AN10" s="34" t="s">
        <v>35</v>
      </c>
      <c r="AO10" s="34" t="s">
        <v>36</v>
      </c>
      <c r="AP10" s="34" t="s">
        <v>37</v>
      </c>
      <c r="AQ10" s="34" t="s">
        <v>38</v>
      </c>
      <c r="AR10" s="34" t="s">
        <v>39</v>
      </c>
      <c r="AS10" s="34" t="s">
        <v>40</v>
      </c>
      <c r="AT10" s="34" t="s">
        <v>41</v>
      </c>
      <c r="AU10" s="34" t="s">
        <v>42</v>
      </c>
      <c r="AV10" s="34" t="s">
        <v>43</v>
      </c>
      <c r="AW10" s="34" t="s">
        <v>44</v>
      </c>
      <c r="AX10" s="34" t="s">
        <v>45</v>
      </c>
      <c r="AY10" s="34" t="s">
        <v>46</v>
      </c>
      <c r="AZ10" s="34" t="s">
        <v>47</v>
      </c>
      <c r="BA10" s="34" t="s">
        <v>539</v>
      </c>
      <c r="BB10" s="34" t="s">
        <v>540</v>
      </c>
      <c r="BC10" s="34" t="s">
        <v>541</v>
      </c>
      <c r="BD10" s="34" t="s">
        <v>542</v>
      </c>
      <c r="BE10" s="34" t="s">
        <v>543</v>
      </c>
      <c r="BF10" s="34" t="s">
        <v>544</v>
      </c>
      <c r="BG10" s="34" t="s">
        <v>545</v>
      </c>
      <c r="BH10" s="34" t="s">
        <v>546</v>
      </c>
      <c r="BI10" s="34" t="s">
        <v>547</v>
      </c>
      <c r="BJ10" s="34" t="s">
        <v>548</v>
      </c>
      <c r="BK10" s="34" t="s">
        <v>549</v>
      </c>
      <c r="BL10" s="34" t="s">
        <v>550</v>
      </c>
      <c r="BM10" s="34" t="s">
        <v>551</v>
      </c>
      <c r="BN10" s="34" t="s">
        <v>552</v>
      </c>
      <c r="BO10" s="34" t="s">
        <v>553</v>
      </c>
      <c r="BP10" s="34" t="s">
        <v>554</v>
      </c>
      <c r="BQ10" s="34" t="s">
        <v>555</v>
      </c>
      <c r="BR10" s="34" t="s">
        <v>556</v>
      </c>
      <c r="BS10" s="34" t="s">
        <v>557</v>
      </c>
      <c r="BT10" s="34" t="s">
        <v>558</v>
      </c>
      <c r="BU10" s="34" t="s">
        <v>559</v>
      </c>
      <c r="BV10" s="34" t="s">
        <v>560</v>
      </c>
      <c r="BW10" s="34" t="s">
        <v>561</v>
      </c>
      <c r="BX10" s="34" t="s">
        <v>562</v>
      </c>
      <c r="BY10" s="34" t="s">
        <v>563</v>
      </c>
      <c r="BZ10" s="34" t="s">
        <v>564</v>
      </c>
      <c r="CA10" s="34" t="s">
        <v>565</v>
      </c>
      <c r="CB10" s="34" t="s">
        <v>566</v>
      </c>
      <c r="CC10" s="34" t="s">
        <v>567</v>
      </c>
      <c r="CD10" s="34" t="s">
        <v>568</v>
      </c>
      <c r="CE10" s="34" t="s">
        <v>569</v>
      </c>
      <c r="CF10" s="34" t="s">
        <v>570</v>
      </c>
      <c r="CG10" s="34" t="s">
        <v>571</v>
      </c>
      <c r="CH10" s="34" t="s">
        <v>572</v>
      </c>
      <c r="CI10" s="34" t="s">
        <v>573</v>
      </c>
      <c r="CJ10" s="34" t="s">
        <v>574</v>
      </c>
      <c r="CK10" s="34" t="s">
        <v>575</v>
      </c>
      <c r="CL10" s="34" t="s">
        <v>576</v>
      </c>
      <c r="CM10" s="34" t="s">
        <v>577</v>
      </c>
      <c r="CN10" s="34" t="s">
        <v>578</v>
      </c>
      <c r="CO10" s="34" t="s">
        <v>579</v>
      </c>
      <c r="CP10" s="34" t="s">
        <v>580</v>
      </c>
      <c r="CQ10" s="34" t="s">
        <v>581</v>
      </c>
      <c r="CR10" s="34" t="s">
        <v>582</v>
      </c>
      <c r="CS10" s="34" t="s">
        <v>583</v>
      </c>
      <c r="CT10" s="34" t="s">
        <v>584</v>
      </c>
      <c r="CU10" s="34" t="s">
        <v>585</v>
      </c>
      <c r="CV10" s="34" t="s">
        <v>586</v>
      </c>
      <c r="CW10" s="34" t="s">
        <v>587</v>
      </c>
      <c r="CX10" s="34" t="s">
        <v>588</v>
      </c>
      <c r="CY10" s="34" t="s">
        <v>589</v>
      </c>
      <c r="CZ10" s="34" t="s">
        <v>590</v>
      </c>
      <c r="DA10" s="34" t="s">
        <v>591</v>
      </c>
      <c r="DB10" s="34" t="s">
        <v>592</v>
      </c>
      <c r="DC10" s="34" t="s">
        <v>593</v>
      </c>
      <c r="DD10" s="34" t="s">
        <v>594</v>
      </c>
      <c r="DE10" s="34" t="s">
        <v>595</v>
      </c>
      <c r="DF10" s="34" t="s">
        <v>596</v>
      </c>
      <c r="DG10" s="34" t="s">
        <v>597</v>
      </c>
      <c r="DH10" s="34" t="s">
        <v>598</v>
      </c>
      <c r="DI10" s="34" t="s">
        <v>599</v>
      </c>
      <c r="DJ10" s="34" t="s">
        <v>600</v>
      </c>
      <c r="DK10" s="34" t="s">
        <v>601</v>
      </c>
      <c r="DL10" s="34" t="s">
        <v>602</v>
      </c>
      <c r="DM10" s="34" t="s">
        <v>603</v>
      </c>
      <c r="DN10" s="34" t="s">
        <v>604</v>
      </c>
      <c r="DO10" s="34" t="s">
        <v>605</v>
      </c>
      <c r="DP10" s="34" t="s">
        <v>606</v>
      </c>
      <c r="DQ10" s="34" t="s">
        <v>607</v>
      </c>
      <c r="DR10" s="34" t="s">
        <v>608</v>
      </c>
      <c r="DS10" s="34" t="s">
        <v>609</v>
      </c>
      <c r="DT10" s="34" t="s">
        <v>610</v>
      </c>
      <c r="DU10" s="34" t="s">
        <v>611</v>
      </c>
      <c r="DV10" s="34" t="s">
        <v>612</v>
      </c>
      <c r="DW10" s="34" t="s">
        <v>613</v>
      </c>
      <c r="DX10" s="34" t="s">
        <v>614</v>
      </c>
      <c r="DY10" s="34" t="s">
        <v>615</v>
      </c>
      <c r="DZ10" s="34" t="s">
        <v>616</v>
      </c>
      <c r="EA10" s="34" t="s">
        <v>617</v>
      </c>
      <c r="EB10" s="34" t="s">
        <v>618</v>
      </c>
      <c r="EC10" s="34" t="s">
        <v>619</v>
      </c>
      <c r="ED10" s="34" t="s">
        <v>620</v>
      </c>
      <c r="EE10" s="34" t="s">
        <v>621</v>
      </c>
      <c r="EF10" s="34" t="s">
        <v>622</v>
      </c>
      <c r="EG10" s="34" t="s">
        <v>623</v>
      </c>
      <c r="EH10" s="34" t="s">
        <v>624</v>
      </c>
      <c r="EI10" s="34" t="s">
        <v>625</v>
      </c>
      <c r="EJ10" s="34" t="s">
        <v>626</v>
      </c>
      <c r="EK10" s="34" t="s">
        <v>627</v>
      </c>
      <c r="EL10" s="34" t="s">
        <v>628</v>
      </c>
      <c r="EM10" s="34" t="s">
        <v>629</v>
      </c>
      <c r="EN10" s="34" t="s">
        <v>630</v>
      </c>
      <c r="EO10" s="34" t="s">
        <v>631</v>
      </c>
      <c r="EP10" s="34" t="s">
        <v>632</v>
      </c>
      <c r="EQ10" s="34" t="s">
        <v>633</v>
      </c>
      <c r="ER10" s="34" t="s">
        <v>634</v>
      </c>
      <c r="ES10" s="34" t="s">
        <v>635</v>
      </c>
      <c r="ET10" s="34" t="s">
        <v>636</v>
      </c>
      <c r="EU10" s="34" t="s">
        <v>637</v>
      </c>
      <c r="EV10" s="34" t="s">
        <v>638</v>
      </c>
      <c r="EW10" s="34" t="s">
        <v>639</v>
      </c>
      <c r="EX10" s="34" t="s">
        <v>640</v>
      </c>
      <c r="EY10" s="34" t="s">
        <v>641</v>
      </c>
      <c r="EZ10" s="34" t="s">
        <v>642</v>
      </c>
      <c r="FA10" s="34" t="s">
        <v>643</v>
      </c>
      <c r="FB10" s="34" t="s">
        <v>644</v>
      </c>
      <c r="FC10" s="34" t="s">
        <v>645</v>
      </c>
      <c r="FD10" s="34" t="s">
        <v>646</v>
      </c>
      <c r="FE10" s="34" t="s">
        <v>647</v>
      </c>
      <c r="FF10" s="34" t="s">
        <v>648</v>
      </c>
      <c r="FG10" s="34" t="s">
        <v>649</v>
      </c>
      <c r="FH10" s="34" t="s">
        <v>650</v>
      </c>
      <c r="FI10" s="34" t="s">
        <v>651</v>
      </c>
      <c r="FJ10" s="34" t="s">
        <v>652</v>
      </c>
      <c r="FK10" s="34" t="s">
        <v>653</v>
      </c>
      <c r="FL10" s="34" t="s">
        <v>654</v>
      </c>
      <c r="FM10" s="34" t="s">
        <v>655</v>
      </c>
      <c r="FN10" s="34" t="s">
        <v>656</v>
      </c>
      <c r="FO10" s="34" t="s">
        <v>657</v>
      </c>
      <c r="FP10" s="34" t="s">
        <v>658</v>
      </c>
      <c r="FQ10" s="34" t="s">
        <v>659</v>
      </c>
      <c r="FR10" s="34" t="s">
        <v>660</v>
      </c>
      <c r="FS10" s="34" t="s">
        <v>661</v>
      </c>
      <c r="FT10" s="34" t="s">
        <v>662</v>
      </c>
      <c r="FU10" s="34" t="s">
        <v>663</v>
      </c>
      <c r="FV10" s="34" t="s">
        <v>664</v>
      </c>
      <c r="FW10" s="34" t="s">
        <v>665</v>
      </c>
      <c r="FX10" s="34" t="s">
        <v>666</v>
      </c>
      <c r="FY10" s="34" t="s">
        <v>667</v>
      </c>
      <c r="FZ10" s="34" t="s">
        <v>668</v>
      </c>
      <c r="GA10" s="34" t="s">
        <v>669</v>
      </c>
      <c r="GB10" s="34" t="s">
        <v>670</v>
      </c>
      <c r="GC10" s="34" t="s">
        <v>671</v>
      </c>
      <c r="GD10" s="34" t="s">
        <v>672</v>
      </c>
      <c r="GE10" s="34" t="s">
        <v>673</v>
      </c>
      <c r="GF10" s="34" t="s">
        <v>674</v>
      </c>
      <c r="GG10" s="34" t="s">
        <v>675</v>
      </c>
      <c r="GH10" s="34" t="s">
        <v>676</v>
      </c>
      <c r="GI10" s="34" t="s">
        <v>677</v>
      </c>
      <c r="GJ10" s="34" t="s">
        <v>678</v>
      </c>
      <c r="GK10" s="34" t="s">
        <v>679</v>
      </c>
      <c r="GL10" s="34" t="s">
        <v>680</v>
      </c>
      <c r="GM10" s="34" t="s">
        <v>681</v>
      </c>
      <c r="GN10" s="34" t="s">
        <v>682</v>
      </c>
      <c r="GO10" s="34" t="s">
        <v>683</v>
      </c>
      <c r="GP10" s="34" t="s">
        <v>684</v>
      </c>
      <c r="GQ10" s="34" t="s">
        <v>685</v>
      </c>
      <c r="GR10" s="34" t="s">
        <v>686</v>
      </c>
      <c r="GS10" s="34" t="s">
        <v>687</v>
      </c>
      <c r="GT10" s="34" t="s">
        <v>688</v>
      </c>
      <c r="GU10" s="34" t="s">
        <v>689</v>
      </c>
      <c r="GV10" s="34" t="s">
        <v>690</v>
      </c>
      <c r="GW10" s="34" t="s">
        <v>691</v>
      </c>
      <c r="GX10" s="34" t="s">
        <v>692</v>
      </c>
      <c r="GY10" s="34" t="s">
        <v>693</v>
      </c>
      <c r="GZ10" s="34" t="s">
        <v>694</v>
      </c>
      <c r="HA10" s="34" t="s">
        <v>695</v>
      </c>
      <c r="HB10" s="34" t="s">
        <v>696</v>
      </c>
      <c r="HC10" s="34" t="s">
        <v>697</v>
      </c>
      <c r="HD10" s="34" t="s">
        <v>698</v>
      </c>
      <c r="HE10" s="144" t="s">
        <v>142</v>
      </c>
      <c r="HF10" s="34" t="s">
        <v>48</v>
      </c>
      <c r="HG10" s="34" t="s">
        <v>49</v>
      </c>
      <c r="HH10" s="34" t="s">
        <v>50</v>
      </c>
      <c r="HI10" s="34" t="s">
        <v>51</v>
      </c>
      <c r="HJ10" s="34" t="s">
        <v>911</v>
      </c>
      <c r="HK10" s="34" t="s">
        <v>912</v>
      </c>
      <c r="HL10" s="144" t="s">
        <v>219</v>
      </c>
      <c r="HM10" s="35" t="s">
        <v>52</v>
      </c>
      <c r="HN10" s="36" t="s">
        <v>53</v>
      </c>
      <c r="HO10" s="144" t="s">
        <v>143</v>
      </c>
      <c r="HP10" s="36" t="s">
        <v>128</v>
      </c>
      <c r="HQ10" s="36" t="s">
        <v>129</v>
      </c>
      <c r="HR10" s="36" t="s">
        <v>130</v>
      </c>
      <c r="HS10" s="36" t="s">
        <v>131</v>
      </c>
      <c r="HT10" s="36" t="s">
        <v>133</v>
      </c>
      <c r="HU10" s="36" t="s">
        <v>132</v>
      </c>
      <c r="HV10" s="144" t="s">
        <v>144</v>
      </c>
      <c r="HW10" s="35" t="s">
        <v>54</v>
      </c>
      <c r="HX10" s="36" t="s">
        <v>55</v>
      </c>
      <c r="HY10" s="36" t="s">
        <v>91</v>
      </c>
      <c r="HZ10" s="144" t="s">
        <v>145</v>
      </c>
      <c r="IA10" s="34" t="s">
        <v>213</v>
      </c>
      <c r="IB10" s="34" t="s">
        <v>154</v>
      </c>
      <c r="IC10" s="35" t="s">
        <v>153</v>
      </c>
      <c r="ID10" s="36" t="s">
        <v>155</v>
      </c>
      <c r="IE10" s="36" t="s">
        <v>156</v>
      </c>
      <c r="IF10" s="36" t="s">
        <v>157</v>
      </c>
      <c r="IG10" s="36" t="s">
        <v>158</v>
      </c>
      <c r="IH10" s="36" t="s">
        <v>159</v>
      </c>
      <c r="II10" s="36" t="s">
        <v>160</v>
      </c>
      <c r="IJ10" s="36" t="s">
        <v>161</v>
      </c>
      <c r="IK10" s="35" t="s">
        <v>162</v>
      </c>
      <c r="IL10" s="36" t="s">
        <v>163</v>
      </c>
      <c r="IM10" s="36" t="s">
        <v>164</v>
      </c>
      <c r="IN10" s="144" t="s">
        <v>146</v>
      </c>
      <c r="IO10" s="34" t="s">
        <v>214</v>
      </c>
      <c r="IP10" s="34" t="s">
        <v>165</v>
      </c>
      <c r="IQ10" s="35" t="s">
        <v>202</v>
      </c>
      <c r="IR10" s="36" t="s">
        <v>203</v>
      </c>
      <c r="IS10" s="36" t="s">
        <v>204</v>
      </c>
      <c r="IT10" s="36" t="s">
        <v>205</v>
      </c>
      <c r="IU10" s="36" t="s">
        <v>206</v>
      </c>
      <c r="IV10" s="36" t="s">
        <v>207</v>
      </c>
      <c r="IW10" s="36" t="s">
        <v>208</v>
      </c>
      <c r="IX10" s="36" t="s">
        <v>209</v>
      </c>
      <c r="IY10" s="35" t="s">
        <v>210</v>
      </c>
      <c r="IZ10" s="36" t="s">
        <v>211</v>
      </c>
      <c r="JA10" s="36" t="s">
        <v>212</v>
      </c>
      <c r="JB10" s="144" t="s">
        <v>147</v>
      </c>
      <c r="JC10" s="34" t="s">
        <v>215</v>
      </c>
      <c r="JD10" s="34" t="s">
        <v>166</v>
      </c>
      <c r="JE10" s="35" t="s">
        <v>191</v>
      </c>
      <c r="JF10" s="36" t="s">
        <v>192</v>
      </c>
      <c r="JG10" s="36" t="s">
        <v>193</v>
      </c>
      <c r="JH10" s="36" t="s">
        <v>194</v>
      </c>
      <c r="JI10" s="36" t="s">
        <v>195</v>
      </c>
      <c r="JJ10" s="36" t="s">
        <v>196</v>
      </c>
      <c r="JK10" s="36" t="s">
        <v>197</v>
      </c>
      <c r="JL10" s="36" t="s">
        <v>198</v>
      </c>
      <c r="JM10" s="35" t="s">
        <v>199</v>
      </c>
      <c r="JN10" s="36" t="s">
        <v>200</v>
      </c>
      <c r="JO10" s="36" t="s">
        <v>201</v>
      </c>
      <c r="JP10" s="144" t="s">
        <v>148</v>
      </c>
      <c r="JQ10" s="34" t="s">
        <v>216</v>
      </c>
      <c r="JR10" s="34" t="s">
        <v>167</v>
      </c>
      <c r="JS10" s="35" t="s">
        <v>180</v>
      </c>
      <c r="JT10" s="36" t="s">
        <v>181</v>
      </c>
      <c r="JU10" s="36" t="s">
        <v>182</v>
      </c>
      <c r="JV10" s="36" t="s">
        <v>183</v>
      </c>
      <c r="JW10" s="36" t="s">
        <v>184</v>
      </c>
      <c r="JX10" s="36" t="s">
        <v>185</v>
      </c>
      <c r="JY10" s="36" t="s">
        <v>186</v>
      </c>
      <c r="JZ10" s="36" t="s">
        <v>187</v>
      </c>
      <c r="KA10" s="35" t="s">
        <v>188</v>
      </c>
      <c r="KB10" s="36" t="s">
        <v>189</v>
      </c>
      <c r="KC10" s="36" t="s">
        <v>190</v>
      </c>
      <c r="KD10" s="144" t="s">
        <v>149</v>
      </c>
      <c r="KE10" s="34" t="s">
        <v>217</v>
      </c>
      <c r="KF10" s="34" t="s">
        <v>168</v>
      </c>
      <c r="KG10" s="35" t="s">
        <v>169</v>
      </c>
      <c r="KH10" s="36" t="s">
        <v>170</v>
      </c>
      <c r="KI10" s="36" t="s">
        <v>171</v>
      </c>
      <c r="KJ10" s="36" t="s">
        <v>172</v>
      </c>
      <c r="KK10" s="36" t="s">
        <v>173</v>
      </c>
      <c r="KL10" s="36" t="s">
        <v>174</v>
      </c>
      <c r="KM10" s="36" t="s">
        <v>175</v>
      </c>
      <c r="KN10" s="36" t="s">
        <v>176</v>
      </c>
      <c r="KO10" s="35" t="s">
        <v>177</v>
      </c>
      <c r="KP10" s="36" t="s">
        <v>178</v>
      </c>
      <c r="KQ10" s="36" t="s">
        <v>179</v>
      </c>
      <c r="KR10" s="144" t="s">
        <v>151</v>
      </c>
      <c r="KS10" s="34" t="s">
        <v>56</v>
      </c>
      <c r="KT10" s="37" t="s">
        <v>57</v>
      </c>
      <c r="KU10" s="36" t="s">
        <v>58</v>
      </c>
      <c r="KV10" s="34" t="s">
        <v>59</v>
      </c>
      <c r="KW10" s="34" t="s">
        <v>60</v>
      </c>
      <c r="KX10" s="38" t="s">
        <v>61</v>
      </c>
      <c r="KY10" s="39" t="s">
        <v>62</v>
      </c>
      <c r="KZ10" s="39" t="s">
        <v>934</v>
      </c>
      <c r="LA10" s="39" t="s">
        <v>935</v>
      </c>
      <c r="LB10" s="39" t="s">
        <v>936</v>
      </c>
      <c r="LC10" s="88" t="s">
        <v>63</v>
      </c>
      <c r="LD10" s="88" t="s">
        <v>64</v>
      </c>
      <c r="LE10" s="50" t="s">
        <v>65</v>
      </c>
      <c r="LF10" s="60" t="s">
        <v>66</v>
      </c>
      <c r="LG10" s="60" t="s">
        <v>67</v>
      </c>
      <c r="LH10" s="34" t="s">
        <v>68</v>
      </c>
      <c r="LI10" s="34" t="s">
        <v>69</v>
      </c>
      <c r="LJ10" s="171" t="s">
        <v>537</v>
      </c>
      <c r="LK10" s="171" t="s">
        <v>536</v>
      </c>
      <c r="LL10" s="171" t="s">
        <v>534</v>
      </c>
      <c r="LM10" s="161" t="s">
        <v>535</v>
      </c>
      <c r="LN10" s="34" t="s">
        <v>70</v>
      </c>
      <c r="LO10" s="34" t="s">
        <v>90</v>
      </c>
      <c r="LP10" s="34" t="s">
        <v>71</v>
      </c>
      <c r="LQ10" s="144" t="s">
        <v>150</v>
      </c>
      <c r="LR10" s="34" t="s">
        <v>105</v>
      </c>
      <c r="LS10" s="34" t="s">
        <v>104</v>
      </c>
      <c r="LT10" s="34" t="s">
        <v>103</v>
      </c>
      <c r="LU10" s="34" t="s">
        <v>106</v>
      </c>
      <c r="LV10" s="34" t="s">
        <v>107</v>
      </c>
      <c r="LW10" s="34" t="s">
        <v>108</v>
      </c>
      <c r="LX10" s="34" t="s">
        <v>109</v>
      </c>
      <c r="LY10" s="34" t="s">
        <v>110</v>
      </c>
      <c r="LZ10" s="34" t="s">
        <v>111</v>
      </c>
      <c r="MA10" s="34" t="s">
        <v>112</v>
      </c>
      <c r="MB10" s="144" t="s">
        <v>152</v>
      </c>
      <c r="MC10" s="34" t="s">
        <v>127</v>
      </c>
      <c r="MD10" s="34" t="s">
        <v>126</v>
      </c>
      <c r="ME10" s="34" t="s">
        <v>125</v>
      </c>
      <c r="MF10" s="34" t="s">
        <v>124</v>
      </c>
      <c r="MG10" s="34" t="s">
        <v>123</v>
      </c>
      <c r="MH10" s="34" t="s">
        <v>122</v>
      </c>
      <c r="MI10" s="34" t="s">
        <v>121</v>
      </c>
      <c r="MJ10" s="34" t="s">
        <v>120</v>
      </c>
      <c r="MK10" s="34" t="s">
        <v>119</v>
      </c>
      <c r="ML10" s="34" t="s">
        <v>118</v>
      </c>
    </row>
    <row r="11" spans="1:350" s="125" customFormat="1" ht="51" x14ac:dyDescent="0.25">
      <c r="A11" s="125" t="str">
        <f>mehrsprachigkeitBegriffsrückgabe(gewählteSpracheZurückgeben(),"Sort number")</f>
        <v>Sortiernummer</v>
      </c>
      <c r="B11" s="125" t="str">
        <f>mehrsprachigkeitBegriffsrückgabe(gewählteSpracheZurückgeben(),"Ignore")</f>
        <v>Importsperre</v>
      </c>
      <c r="C11" s="125" t="str">
        <f>mehrsprachigkeitBegriffsrückgabe(gewählteSpracheZurückgeben(),"Delete")</f>
        <v>Löschen</v>
      </c>
      <c r="D11" s="125" t="str">
        <f>mehrsprachigkeitBegriffsrückgabe(gewählteSpracheZurückgeben(),"Publish")</f>
        <v>Veröffentlichen</v>
      </c>
      <c r="E11" s="145"/>
      <c r="F11" s="125" t="str">
        <f>mehrsprachigkeitBegriffsrückgabe(gewählteSpracheZurückgeben(),"Type")</f>
        <v>Typ</v>
      </c>
      <c r="G11" s="125" t="str">
        <f>mehrsprachigkeitBegriffsrückgabe(gewählteSpracheZurückgeben(),"Product code")</f>
        <v>Artikel-Nr.</v>
      </c>
      <c r="H11" s="125" t="str">
        <f>mehrsprachigkeitBegriffsrückgabe(gewählteSpracheZurückgeben(),"Parent product code")</f>
        <v>Übergeordnete Artikel-Nr.</v>
      </c>
      <c r="I11" s="125" t="str">
        <f>mehrsprachigkeitBegriffsrückgabe(gewählteSpracheZurückgeben(),"Language")</f>
        <v>Sprache</v>
      </c>
      <c r="J11" s="125" t="str">
        <f>mehrsprachigkeitBegriffsrückgabe(gewählteSpracheZurückgeben(),"Name")</f>
        <v>Bezeichnung</v>
      </c>
      <c r="K11" s="125" t="str">
        <f>mehrsprachigkeitBegriffsrückgabe(gewählteSpracheZurückgeben(),"Alias")</f>
        <v>Alias</v>
      </c>
      <c r="L11" s="145"/>
      <c r="M11" s="125" t="str">
        <f>mehrsprachigkeitBegriffsrückgabe(gewählteSpracheZurückgeben(),"Property 01")</f>
        <v>Merkmal 01</v>
      </c>
      <c r="N11" s="125" t="str">
        <f>mehrsprachigkeitBegriffsrückgabe(gewählteSpracheZurückgeben(),"Value 01")</f>
        <v>Ausprägung 01</v>
      </c>
      <c r="O11" s="125" t="str">
        <f>mehrsprachigkeitBegriffsrückgabe(gewählteSpracheZurückgeben(),"Property 02")</f>
        <v>Merkmal 02</v>
      </c>
      <c r="P11" s="125" t="str">
        <f>mehrsprachigkeitBegriffsrückgabe(gewählteSpracheZurückgeben(),"Value 02")</f>
        <v>Ausprägung 02</v>
      </c>
      <c r="Q11" s="125" t="str">
        <f>mehrsprachigkeitBegriffsrückgabe(gewählteSpracheZurückgeben(),"Property 03")</f>
        <v>Merkmal 03</v>
      </c>
      <c r="R11" s="125" t="str">
        <f>mehrsprachigkeitBegriffsrückgabe(gewählteSpracheZurückgeben(),"Value 03")</f>
        <v>Ausprägung 03</v>
      </c>
      <c r="S11" s="125" t="str">
        <f>mehrsprachigkeitBegriffsrückgabe(gewählteSpracheZurückgeben(),"Property 04")</f>
        <v>Merkmal 04</v>
      </c>
      <c r="T11" s="125" t="str">
        <f>mehrsprachigkeitBegriffsrückgabe(gewählteSpracheZurückgeben(),"Value 04")</f>
        <v>Ausprägung 04</v>
      </c>
      <c r="U11" s="125" t="str">
        <f>mehrsprachigkeitBegriffsrückgabe(gewählteSpracheZurückgeben(),"Property 05")</f>
        <v>Merkmal 05</v>
      </c>
      <c r="V11" s="125" t="str">
        <f>mehrsprachigkeitBegriffsrückgabe(gewählteSpracheZurückgeben(),"Value 05")</f>
        <v>Ausprägung 05</v>
      </c>
      <c r="W11" s="125" t="str">
        <f>mehrsprachigkeitBegriffsrückgabe(gewählteSpracheZurückgeben(),"Property 06")</f>
        <v>Merkmal 06</v>
      </c>
      <c r="X11" s="125" t="str">
        <f>mehrsprachigkeitBegriffsrückgabe(gewählteSpracheZurückgeben(),"Value 06")</f>
        <v>Ausprägung 06</v>
      </c>
      <c r="Y11" s="125" t="str">
        <f>mehrsprachigkeitBegriffsrückgabe(gewählteSpracheZurückgeben(),"Property 07")</f>
        <v>Merkmal 07</v>
      </c>
      <c r="Z11" s="125" t="str">
        <f>mehrsprachigkeitBegriffsrückgabe(gewählteSpracheZurückgeben(),"Value 07")</f>
        <v>Ausprägung 07</v>
      </c>
      <c r="AA11" s="125" t="str">
        <f>mehrsprachigkeitBegriffsrückgabe(gewählteSpracheZurückgeben(),"Property 08")</f>
        <v>Merkmal 08</v>
      </c>
      <c r="AB11" s="125" t="str">
        <f>mehrsprachigkeitBegriffsrückgabe(gewählteSpracheZurückgeben(),"Value 08")</f>
        <v>Ausprägung 08</v>
      </c>
      <c r="AC11" s="125" t="str">
        <f>mehrsprachigkeitBegriffsrückgabe(gewählteSpracheZurückgeben(),"Property 09")</f>
        <v>Merkmal 09</v>
      </c>
      <c r="AD11" s="125" t="str">
        <f>mehrsprachigkeitBegriffsrückgabe(gewählteSpracheZurückgeben(),"Value 09")</f>
        <v>Ausprägung 09</v>
      </c>
      <c r="AE11" s="125" t="str">
        <f>mehrsprachigkeitBegriffsrückgabe(gewählteSpracheZurückgeben(),"Property 10")</f>
        <v>Merkmal 10</v>
      </c>
      <c r="AF11" s="125" t="str">
        <f>mehrsprachigkeitBegriffsrückgabe(gewählteSpracheZurückgeben(),"Value 10")</f>
        <v>Ausprägung 10</v>
      </c>
      <c r="AG11" s="125" t="str">
        <f>mehrsprachigkeitBegriffsrückgabe(gewählteSpracheZurückgeben(),"Property 11")</f>
        <v>Merkmal 11</v>
      </c>
      <c r="AH11" s="125" t="str">
        <f>mehrsprachigkeitBegriffsrückgabe(gewählteSpracheZurückgeben(),"Value 11")</f>
        <v>Ausprägung 11</v>
      </c>
      <c r="AI11" s="125" t="str">
        <f>mehrsprachigkeitBegriffsrückgabe(gewählteSpracheZurückgeben(),"Property 12")</f>
        <v>Merkmal 12</v>
      </c>
      <c r="AJ11" s="125" t="str">
        <f>mehrsprachigkeitBegriffsrückgabe(gewählteSpracheZurückgeben(),"Value 12")</f>
        <v>Ausprägung 12</v>
      </c>
      <c r="AK11" s="125" t="str">
        <f>mehrsprachigkeitBegriffsrückgabe(gewählteSpracheZurückgeben(),"Property 13")</f>
        <v>Merkmal 13</v>
      </c>
      <c r="AL11" s="125" t="str">
        <f>mehrsprachigkeitBegriffsrückgabe(gewählteSpracheZurückgeben(),"Value 13")</f>
        <v>Ausprägung 13</v>
      </c>
      <c r="AM11" s="125" t="str">
        <f>mehrsprachigkeitBegriffsrückgabe(gewählteSpracheZurückgeben(),"Property 14")</f>
        <v>Merkmal 14</v>
      </c>
      <c r="AN11" s="125" t="str">
        <f>mehrsprachigkeitBegriffsrückgabe(gewählteSpracheZurückgeben(),"Value 14")</f>
        <v>Ausprägung 14</v>
      </c>
      <c r="AO11" s="125" t="str">
        <f>mehrsprachigkeitBegriffsrückgabe(gewählteSpracheZurückgeben(),"Property 15")</f>
        <v>Merkmal 15</v>
      </c>
      <c r="AP11" s="125" t="str">
        <f>mehrsprachigkeitBegriffsrückgabe(gewählteSpracheZurückgeben(),"Value 15")</f>
        <v>Ausprägung 15</v>
      </c>
      <c r="AQ11" s="125" t="str">
        <f>mehrsprachigkeitBegriffsrückgabe(gewählteSpracheZurückgeben(),"Property 16")</f>
        <v>Merkmal 16</v>
      </c>
      <c r="AR11" s="125" t="str">
        <f>mehrsprachigkeitBegriffsrückgabe(gewählteSpracheZurückgeben(),"Value 16")</f>
        <v>Ausprägung 16</v>
      </c>
      <c r="AS11" s="125" t="str">
        <f>mehrsprachigkeitBegriffsrückgabe(gewählteSpracheZurückgeben(),"Property 17")</f>
        <v>Merkmal 17</v>
      </c>
      <c r="AT11" s="125" t="str">
        <f>mehrsprachigkeitBegriffsrückgabe(gewählteSpracheZurückgeben(),"Value 17")</f>
        <v>Ausprägung 17</v>
      </c>
      <c r="AU11" s="125" t="str">
        <f>mehrsprachigkeitBegriffsrückgabe(gewählteSpracheZurückgeben(),"Property 18")</f>
        <v>Merkmal 18</v>
      </c>
      <c r="AV11" s="125" t="str">
        <f>mehrsprachigkeitBegriffsrückgabe(gewählteSpracheZurückgeben(),"Value 18")</f>
        <v>Ausprägung 18</v>
      </c>
      <c r="AW11" s="125" t="str">
        <f>mehrsprachigkeitBegriffsrückgabe(gewählteSpracheZurückgeben(),"Property 19")</f>
        <v>Merkmal 19</v>
      </c>
      <c r="AX11" s="125" t="str">
        <f>mehrsprachigkeitBegriffsrückgabe(gewählteSpracheZurückgeben(),"Value 19")</f>
        <v>Ausprägung 19</v>
      </c>
      <c r="AY11" s="125" t="str">
        <f>mehrsprachigkeitBegriffsrückgabe(gewählteSpracheZurückgeben(),"Property 20")</f>
        <v>Merkmal 20</v>
      </c>
      <c r="AZ11" s="125" t="str">
        <f>mehrsprachigkeitBegriffsrückgabe(gewählteSpracheZurückgeben(),"Value 20")</f>
        <v>Ausprägung 20</v>
      </c>
      <c r="BA11" s="125" t="str">
        <f>mehrsprachigkeitBegriffsrückgabe(gewählteSpracheZurückgeben(),"Property 21")</f>
        <v>Merkmal 21</v>
      </c>
      <c r="BB11" s="125" t="str">
        <f>mehrsprachigkeitBegriffsrückgabe(gewählteSpracheZurückgeben(),"Value 21")</f>
        <v>Ausprägung 21</v>
      </c>
      <c r="BC11" s="125" t="str">
        <f>mehrsprachigkeitBegriffsrückgabe(gewählteSpracheZurückgeben(),"Property 22")</f>
        <v>Merkmal 22</v>
      </c>
      <c r="BD11" s="125" t="str">
        <f>mehrsprachigkeitBegriffsrückgabe(gewählteSpracheZurückgeben(),"Value 22")</f>
        <v>Ausprägung 22</v>
      </c>
      <c r="BE11" s="125" t="str">
        <f>mehrsprachigkeitBegriffsrückgabe(gewählteSpracheZurückgeben(),"Property 23")</f>
        <v>Merkmal 23</v>
      </c>
      <c r="BF11" s="125" t="str">
        <f>mehrsprachigkeitBegriffsrückgabe(gewählteSpracheZurückgeben(),"Value 23")</f>
        <v>Ausprägung 23</v>
      </c>
      <c r="BG11" s="125" t="str">
        <f>mehrsprachigkeitBegriffsrückgabe(gewählteSpracheZurückgeben(),"Property 24")</f>
        <v>Merkmal 24</v>
      </c>
      <c r="BH11" s="125" t="str">
        <f>mehrsprachigkeitBegriffsrückgabe(gewählteSpracheZurückgeben(),"Value 24")</f>
        <v>Ausprägung 24</v>
      </c>
      <c r="BI11" s="125" t="str">
        <f>mehrsprachigkeitBegriffsrückgabe(gewählteSpracheZurückgeben(),"Property 25")</f>
        <v>Merkmal 25</v>
      </c>
      <c r="BJ11" s="125" t="str">
        <f>mehrsprachigkeitBegriffsrückgabe(gewählteSpracheZurückgeben(),"Value 25")</f>
        <v>Ausprägung 25</v>
      </c>
      <c r="BK11" s="125" t="str">
        <f>mehrsprachigkeitBegriffsrückgabe(gewählteSpracheZurückgeben(),"Property 26")</f>
        <v>Merkmal 26</v>
      </c>
      <c r="BL11" s="125" t="str">
        <f>mehrsprachigkeitBegriffsrückgabe(gewählteSpracheZurückgeben(),"Value 26")</f>
        <v>Ausprägung 26</v>
      </c>
      <c r="BM11" s="125" t="str">
        <f>mehrsprachigkeitBegriffsrückgabe(gewählteSpracheZurückgeben(),"Property 27")</f>
        <v>Merkmal 27</v>
      </c>
      <c r="BN11" s="125" t="str">
        <f>mehrsprachigkeitBegriffsrückgabe(gewählteSpracheZurückgeben(),"Value 27")</f>
        <v>Ausprägung 27</v>
      </c>
      <c r="BO11" s="125" t="str">
        <f>mehrsprachigkeitBegriffsrückgabe(gewählteSpracheZurückgeben(),"Property 28")</f>
        <v>Merkmal 28</v>
      </c>
      <c r="BP11" s="125" t="str">
        <f>mehrsprachigkeitBegriffsrückgabe(gewählteSpracheZurückgeben(),"Value 28")</f>
        <v>Ausprägung 28</v>
      </c>
      <c r="BQ11" s="125" t="str">
        <f>mehrsprachigkeitBegriffsrückgabe(gewählteSpracheZurückgeben(),"Property 29")</f>
        <v>Merkmal 29</v>
      </c>
      <c r="BR11" s="125" t="str">
        <f>mehrsprachigkeitBegriffsrückgabe(gewählteSpracheZurückgeben(),"Value 29")</f>
        <v>Ausprägung 29</v>
      </c>
      <c r="BS11" s="125" t="str">
        <f>mehrsprachigkeitBegriffsrückgabe(gewählteSpracheZurückgeben(),"Property 30")</f>
        <v>Merkmal 30</v>
      </c>
      <c r="BT11" s="125" t="str">
        <f>mehrsprachigkeitBegriffsrückgabe(gewählteSpracheZurückgeben(),"Value 30")</f>
        <v>Ausprägung 30</v>
      </c>
      <c r="BU11" s="125" t="str">
        <f>mehrsprachigkeitBegriffsrückgabe(gewählteSpracheZurückgeben(),"Property 31")</f>
        <v>Merkmal 31</v>
      </c>
      <c r="BV11" s="125" t="str">
        <f>mehrsprachigkeitBegriffsrückgabe(gewählteSpracheZurückgeben(),"Value 31")</f>
        <v>Ausprägung 31</v>
      </c>
      <c r="BW11" s="125" t="str">
        <f>mehrsprachigkeitBegriffsrückgabe(gewählteSpracheZurückgeben(),"Property 32")</f>
        <v>Merkmal 32</v>
      </c>
      <c r="BX11" s="125" t="str">
        <f>mehrsprachigkeitBegriffsrückgabe(gewählteSpracheZurückgeben(),"Value 32")</f>
        <v>Ausprägung 32</v>
      </c>
      <c r="BY11" s="125" t="str">
        <f>mehrsprachigkeitBegriffsrückgabe(gewählteSpracheZurückgeben(),"Property 33")</f>
        <v>Merkmal 33</v>
      </c>
      <c r="BZ11" s="125" t="str">
        <f>mehrsprachigkeitBegriffsrückgabe(gewählteSpracheZurückgeben(),"Value 33")</f>
        <v>Ausprägung 33</v>
      </c>
      <c r="CA11" s="125" t="str">
        <f>mehrsprachigkeitBegriffsrückgabe(gewählteSpracheZurückgeben(),"Property 34")</f>
        <v>Merkmal 34</v>
      </c>
      <c r="CB11" s="125" t="str">
        <f>mehrsprachigkeitBegriffsrückgabe(gewählteSpracheZurückgeben(),"Value 34")</f>
        <v>Ausprägung 34</v>
      </c>
      <c r="CC11" s="125" t="str">
        <f>mehrsprachigkeitBegriffsrückgabe(gewählteSpracheZurückgeben(),"Property 35")</f>
        <v>Merkmal 35</v>
      </c>
      <c r="CD11" s="125" t="str">
        <f>mehrsprachigkeitBegriffsrückgabe(gewählteSpracheZurückgeben(),"Value 35")</f>
        <v>Ausprägung 35</v>
      </c>
      <c r="CE11" s="125" t="str">
        <f>mehrsprachigkeitBegriffsrückgabe(gewählteSpracheZurückgeben(),"Property 36")</f>
        <v>Merkmal 36</v>
      </c>
      <c r="CF11" s="125" t="str">
        <f>mehrsprachigkeitBegriffsrückgabe(gewählteSpracheZurückgeben(),"Value 36")</f>
        <v>Ausprägung 36</v>
      </c>
      <c r="CG11" s="125" t="str">
        <f>mehrsprachigkeitBegriffsrückgabe(gewählteSpracheZurückgeben(),"Property 37")</f>
        <v>Merkmal 37</v>
      </c>
      <c r="CH11" s="125" t="str">
        <f>mehrsprachigkeitBegriffsrückgabe(gewählteSpracheZurückgeben(),"Value 37")</f>
        <v>Ausprägung 37</v>
      </c>
      <c r="CI11" s="125" t="str">
        <f>mehrsprachigkeitBegriffsrückgabe(gewählteSpracheZurückgeben(),"Property 38")</f>
        <v>Merkmal 38</v>
      </c>
      <c r="CJ11" s="125" t="str">
        <f>mehrsprachigkeitBegriffsrückgabe(gewählteSpracheZurückgeben(),"Value 38")</f>
        <v>Ausprägung 38</v>
      </c>
      <c r="CK11" s="125" t="str">
        <f>mehrsprachigkeitBegriffsrückgabe(gewählteSpracheZurückgeben(),"Property 39")</f>
        <v>Merkmal 39</v>
      </c>
      <c r="CL11" s="125" t="str">
        <f>mehrsprachigkeitBegriffsrückgabe(gewählteSpracheZurückgeben(),"Value 39")</f>
        <v>Ausprägung 39</v>
      </c>
      <c r="CM11" s="125" t="str">
        <f>mehrsprachigkeitBegriffsrückgabe(gewählteSpracheZurückgeben(),"Property 40")</f>
        <v>Merkmal 40</v>
      </c>
      <c r="CN11" s="125" t="str">
        <f>mehrsprachigkeitBegriffsrückgabe(gewählteSpracheZurückgeben(),"Value 40")</f>
        <v>Ausprägung 40</v>
      </c>
      <c r="CO11" s="125" t="str">
        <f>mehrsprachigkeitBegriffsrückgabe(gewählteSpracheZurückgeben(),"Property 41")</f>
        <v>Merkmal 41</v>
      </c>
      <c r="CP11" s="125" t="str">
        <f>mehrsprachigkeitBegriffsrückgabe(gewählteSpracheZurückgeben(),"Value 41")</f>
        <v>Ausprägung 41</v>
      </c>
      <c r="CQ11" s="125" t="str">
        <f>mehrsprachigkeitBegriffsrückgabe(gewählteSpracheZurückgeben(),"Property 42")</f>
        <v>Merkmal 42</v>
      </c>
      <c r="CR11" s="125" t="str">
        <f>mehrsprachigkeitBegriffsrückgabe(gewählteSpracheZurückgeben(),"Value 42")</f>
        <v>Ausprägung 42</v>
      </c>
      <c r="CS11" s="125" t="str">
        <f>mehrsprachigkeitBegriffsrückgabe(gewählteSpracheZurückgeben(),"Property 43")</f>
        <v>Merkmal 43</v>
      </c>
      <c r="CT11" s="125" t="str">
        <f>mehrsprachigkeitBegriffsrückgabe(gewählteSpracheZurückgeben(),"Value 43")</f>
        <v>Ausprägung 43</v>
      </c>
      <c r="CU11" s="125" t="str">
        <f>mehrsprachigkeitBegriffsrückgabe(gewählteSpracheZurückgeben(),"Property 44")</f>
        <v>Merkmal 44</v>
      </c>
      <c r="CV11" s="125" t="str">
        <f>mehrsprachigkeitBegriffsrückgabe(gewählteSpracheZurückgeben(),"Value 44")</f>
        <v>Ausprägung 44</v>
      </c>
      <c r="CW11" s="125" t="str">
        <f>mehrsprachigkeitBegriffsrückgabe(gewählteSpracheZurückgeben(),"Property 45")</f>
        <v>Merkmal 45</v>
      </c>
      <c r="CX11" s="125" t="str">
        <f>mehrsprachigkeitBegriffsrückgabe(gewählteSpracheZurückgeben(),"Value 45")</f>
        <v>Ausprägung 45</v>
      </c>
      <c r="CY11" s="125" t="str">
        <f>mehrsprachigkeitBegriffsrückgabe(gewählteSpracheZurückgeben(),"Property 46")</f>
        <v>Merkmal 46</v>
      </c>
      <c r="CZ11" s="125" t="str">
        <f>mehrsprachigkeitBegriffsrückgabe(gewählteSpracheZurückgeben(),"Value 46")</f>
        <v>Ausprägung 46</v>
      </c>
      <c r="DA11" s="125" t="str">
        <f>mehrsprachigkeitBegriffsrückgabe(gewählteSpracheZurückgeben(),"Property 47")</f>
        <v>Merkmal 47</v>
      </c>
      <c r="DB11" s="125" t="str">
        <f>mehrsprachigkeitBegriffsrückgabe(gewählteSpracheZurückgeben(),"Value 47")</f>
        <v>Ausprägung 47</v>
      </c>
      <c r="DC11" s="125" t="str">
        <f>mehrsprachigkeitBegriffsrückgabe(gewählteSpracheZurückgeben(),"Property 48")</f>
        <v>Merkmal 48</v>
      </c>
      <c r="DD11" s="125" t="str">
        <f>mehrsprachigkeitBegriffsrückgabe(gewählteSpracheZurückgeben(),"Value 48")</f>
        <v>Ausprägung 48</v>
      </c>
      <c r="DE11" s="125" t="str">
        <f>mehrsprachigkeitBegriffsrückgabe(gewählteSpracheZurückgeben(),"Property 49")</f>
        <v>Merkmal 49</v>
      </c>
      <c r="DF11" s="125" t="str">
        <f>mehrsprachigkeitBegriffsrückgabe(gewählteSpracheZurückgeben(),"Value 49")</f>
        <v>Ausprägung 49</v>
      </c>
      <c r="DG11" s="125" t="str">
        <f>mehrsprachigkeitBegriffsrückgabe(gewählteSpracheZurückgeben(),"Property 50")</f>
        <v>Merkmal 50</v>
      </c>
      <c r="DH11" s="125" t="str">
        <f>mehrsprachigkeitBegriffsrückgabe(gewählteSpracheZurückgeben(),"Value 50")</f>
        <v>Ausprägung 50</v>
      </c>
      <c r="DI11" s="125" t="str">
        <f>mehrsprachigkeitBegriffsrückgabe(gewählteSpracheZurückgeben(),"Property 51")</f>
        <v>Merkmal 51</v>
      </c>
      <c r="DJ11" s="125" t="str">
        <f>mehrsprachigkeitBegriffsrückgabe(gewählteSpracheZurückgeben(),"Value 51")</f>
        <v>Ausprägung 51</v>
      </c>
      <c r="DK11" s="125" t="str">
        <f>mehrsprachigkeitBegriffsrückgabe(gewählteSpracheZurückgeben(),"Property 52")</f>
        <v>Merkmal 52</v>
      </c>
      <c r="DL11" s="125" t="str">
        <f>mehrsprachigkeitBegriffsrückgabe(gewählteSpracheZurückgeben(),"Value 52")</f>
        <v>Ausprägung 52</v>
      </c>
      <c r="DM11" s="125" t="str">
        <f>mehrsprachigkeitBegriffsrückgabe(gewählteSpracheZurückgeben(),"Property 53")</f>
        <v>Merkmal 53</v>
      </c>
      <c r="DN11" s="125" t="str">
        <f>mehrsprachigkeitBegriffsrückgabe(gewählteSpracheZurückgeben(),"Value 53")</f>
        <v>Ausprägung 53</v>
      </c>
      <c r="DO11" s="125" t="str">
        <f>mehrsprachigkeitBegriffsrückgabe(gewählteSpracheZurückgeben(),"Property 54")</f>
        <v>Merkmal 54</v>
      </c>
      <c r="DP11" s="125" t="str">
        <f>mehrsprachigkeitBegriffsrückgabe(gewählteSpracheZurückgeben(),"Value 54")</f>
        <v>Ausprägung 54</v>
      </c>
      <c r="DQ11" s="125" t="str">
        <f>mehrsprachigkeitBegriffsrückgabe(gewählteSpracheZurückgeben(),"Property 55")</f>
        <v>Merkmal 55</v>
      </c>
      <c r="DR11" s="125" t="str">
        <f>mehrsprachigkeitBegriffsrückgabe(gewählteSpracheZurückgeben(),"Value 55")</f>
        <v>Ausprägung 55</v>
      </c>
      <c r="DS11" s="125" t="str">
        <f>mehrsprachigkeitBegriffsrückgabe(gewählteSpracheZurückgeben(),"Property 56")</f>
        <v>Merkmal 56</v>
      </c>
      <c r="DT11" s="125" t="str">
        <f>mehrsprachigkeitBegriffsrückgabe(gewählteSpracheZurückgeben(),"Value 56")</f>
        <v>Ausprägung 56</v>
      </c>
      <c r="DU11" s="125" t="str">
        <f>mehrsprachigkeitBegriffsrückgabe(gewählteSpracheZurückgeben(),"Property 57")</f>
        <v>Merkmal 57</v>
      </c>
      <c r="DV11" s="125" t="str">
        <f>mehrsprachigkeitBegriffsrückgabe(gewählteSpracheZurückgeben(),"Value 57")</f>
        <v>Ausprägung 57</v>
      </c>
      <c r="DW11" s="125" t="str">
        <f>mehrsprachigkeitBegriffsrückgabe(gewählteSpracheZurückgeben(),"Property 58")</f>
        <v>Merkmal 58</v>
      </c>
      <c r="DX11" s="125" t="str">
        <f>mehrsprachigkeitBegriffsrückgabe(gewählteSpracheZurückgeben(),"Value 58")</f>
        <v>Ausprägung 58</v>
      </c>
      <c r="DY11" s="125" t="str">
        <f>mehrsprachigkeitBegriffsrückgabe(gewählteSpracheZurückgeben(),"Property 59")</f>
        <v>Merkmal 59</v>
      </c>
      <c r="DZ11" s="125" t="str">
        <f>mehrsprachigkeitBegriffsrückgabe(gewählteSpracheZurückgeben(),"Value 59")</f>
        <v>Ausprägung 59</v>
      </c>
      <c r="EA11" s="125" t="str">
        <f>mehrsprachigkeitBegriffsrückgabe(gewählteSpracheZurückgeben(),"Property 60")</f>
        <v>Merkmal 60</v>
      </c>
      <c r="EB11" s="125" t="str">
        <f>mehrsprachigkeitBegriffsrückgabe(gewählteSpracheZurückgeben(),"Value 60")</f>
        <v>Ausprägung 60</v>
      </c>
      <c r="EC11" s="125" t="str">
        <f>mehrsprachigkeitBegriffsrückgabe(gewählteSpracheZurückgeben(),"Property 61")</f>
        <v>Merkmal 61</v>
      </c>
      <c r="ED11" s="125" t="str">
        <f>mehrsprachigkeitBegriffsrückgabe(gewählteSpracheZurückgeben(),"Value 61")</f>
        <v>Ausprägung 61</v>
      </c>
      <c r="EE11" s="125" t="str">
        <f>mehrsprachigkeitBegriffsrückgabe(gewählteSpracheZurückgeben(),"Property 62")</f>
        <v>Merkmal 62</v>
      </c>
      <c r="EF11" s="125" t="str">
        <f>mehrsprachigkeitBegriffsrückgabe(gewählteSpracheZurückgeben(),"Value 62")</f>
        <v>Ausprägung 62</v>
      </c>
      <c r="EG11" s="125" t="str">
        <f>mehrsprachigkeitBegriffsrückgabe(gewählteSpracheZurückgeben(),"Property 63")</f>
        <v>Merkmal 63</v>
      </c>
      <c r="EH11" s="125" t="str">
        <f>mehrsprachigkeitBegriffsrückgabe(gewählteSpracheZurückgeben(),"Value 63")</f>
        <v>Ausprägung 63</v>
      </c>
      <c r="EI11" s="125" t="str">
        <f>mehrsprachigkeitBegriffsrückgabe(gewählteSpracheZurückgeben(),"Property 64")</f>
        <v>Merkmal 64</v>
      </c>
      <c r="EJ11" s="125" t="str">
        <f>mehrsprachigkeitBegriffsrückgabe(gewählteSpracheZurückgeben(),"Value 64")</f>
        <v>Ausprägung 64</v>
      </c>
      <c r="EK11" s="125" t="str">
        <f>mehrsprachigkeitBegriffsrückgabe(gewählteSpracheZurückgeben(),"Property 65")</f>
        <v>Merkmal 65</v>
      </c>
      <c r="EL11" s="125" t="str">
        <f>mehrsprachigkeitBegriffsrückgabe(gewählteSpracheZurückgeben(),"Value 65")</f>
        <v>Ausprägung 65</v>
      </c>
      <c r="EM11" s="125" t="str">
        <f>mehrsprachigkeitBegriffsrückgabe(gewählteSpracheZurückgeben(),"Property 66")</f>
        <v>Merkmal 66</v>
      </c>
      <c r="EN11" s="125" t="str">
        <f>mehrsprachigkeitBegriffsrückgabe(gewählteSpracheZurückgeben(),"Value 66")</f>
        <v>Ausprägung 66</v>
      </c>
      <c r="EO11" s="125" t="str">
        <f>mehrsprachigkeitBegriffsrückgabe(gewählteSpracheZurückgeben(),"Property 67")</f>
        <v>Merkmal 67</v>
      </c>
      <c r="EP11" s="125" t="str">
        <f>mehrsprachigkeitBegriffsrückgabe(gewählteSpracheZurückgeben(),"Value 67")</f>
        <v>Ausprägung 67</v>
      </c>
      <c r="EQ11" s="125" t="str">
        <f>mehrsprachigkeitBegriffsrückgabe(gewählteSpracheZurückgeben(),"Property 68")</f>
        <v>Merkmal 68</v>
      </c>
      <c r="ER11" s="125" t="str">
        <f>mehrsprachigkeitBegriffsrückgabe(gewählteSpracheZurückgeben(),"Value 68")</f>
        <v>Ausprägung 68</v>
      </c>
      <c r="ES11" s="125" t="str">
        <f>mehrsprachigkeitBegriffsrückgabe(gewählteSpracheZurückgeben(),"Property 69")</f>
        <v>Merkmal 69</v>
      </c>
      <c r="ET11" s="125" t="str">
        <f>mehrsprachigkeitBegriffsrückgabe(gewählteSpracheZurückgeben(),"Value 69")</f>
        <v>Ausprägung 69</v>
      </c>
      <c r="EU11" s="125" t="str">
        <f>mehrsprachigkeitBegriffsrückgabe(gewählteSpracheZurückgeben(),"Property 70")</f>
        <v>Merkmal 70</v>
      </c>
      <c r="EV11" s="125" t="str">
        <f>mehrsprachigkeitBegriffsrückgabe(gewählteSpracheZurückgeben(),"Value 70")</f>
        <v>Ausprägung 70</v>
      </c>
      <c r="EW11" s="125" t="str">
        <f>mehrsprachigkeitBegriffsrückgabe(gewählteSpracheZurückgeben(),"Property 71")</f>
        <v>Merkmal 71</v>
      </c>
      <c r="EX11" s="125" t="str">
        <f>mehrsprachigkeitBegriffsrückgabe(gewählteSpracheZurückgeben(),"Value 71")</f>
        <v>Ausprägung 71</v>
      </c>
      <c r="EY11" s="125" t="str">
        <f>mehrsprachigkeitBegriffsrückgabe(gewählteSpracheZurückgeben(),"Property 72")</f>
        <v>Merkmal 72</v>
      </c>
      <c r="EZ11" s="125" t="str">
        <f>mehrsprachigkeitBegriffsrückgabe(gewählteSpracheZurückgeben(),"Value 72")</f>
        <v>Ausprägung 72</v>
      </c>
      <c r="FA11" s="125" t="str">
        <f>mehrsprachigkeitBegriffsrückgabe(gewählteSpracheZurückgeben(),"Property 73")</f>
        <v>Merkmal 73</v>
      </c>
      <c r="FB11" s="125" t="str">
        <f>mehrsprachigkeitBegriffsrückgabe(gewählteSpracheZurückgeben(),"Value 73")</f>
        <v>Ausprägung 73</v>
      </c>
      <c r="FC11" s="125" t="str">
        <f>mehrsprachigkeitBegriffsrückgabe(gewählteSpracheZurückgeben(),"Property 74")</f>
        <v>Merkmal 74</v>
      </c>
      <c r="FD11" s="125" t="str">
        <f>mehrsprachigkeitBegriffsrückgabe(gewählteSpracheZurückgeben(),"Value 74")</f>
        <v>Ausprägung 74</v>
      </c>
      <c r="FE11" s="125" t="str">
        <f>mehrsprachigkeitBegriffsrückgabe(gewählteSpracheZurückgeben(),"Property 75")</f>
        <v>Merkmal 75</v>
      </c>
      <c r="FF11" s="125" t="str">
        <f>mehrsprachigkeitBegriffsrückgabe(gewählteSpracheZurückgeben(),"Value 75")</f>
        <v>Ausprägung 75</v>
      </c>
      <c r="FG11" s="125" t="str">
        <f>mehrsprachigkeitBegriffsrückgabe(gewählteSpracheZurückgeben(),"Property 76")</f>
        <v>Merkmal 76</v>
      </c>
      <c r="FH11" s="125" t="str">
        <f>mehrsprachigkeitBegriffsrückgabe(gewählteSpracheZurückgeben(),"Value 76")</f>
        <v>Ausprägung 76</v>
      </c>
      <c r="FI11" s="125" t="str">
        <f>mehrsprachigkeitBegriffsrückgabe(gewählteSpracheZurückgeben(),"Property 77")</f>
        <v>Merkmal 77</v>
      </c>
      <c r="FJ11" s="125" t="str">
        <f>mehrsprachigkeitBegriffsrückgabe(gewählteSpracheZurückgeben(),"Value 77")</f>
        <v>Ausprägung 77</v>
      </c>
      <c r="FK11" s="125" t="str">
        <f>mehrsprachigkeitBegriffsrückgabe(gewählteSpracheZurückgeben(),"Property 78")</f>
        <v>Merkmal 78</v>
      </c>
      <c r="FL11" s="125" t="str">
        <f>mehrsprachigkeitBegriffsrückgabe(gewählteSpracheZurückgeben(),"Value 78")</f>
        <v>Ausprägung 78</v>
      </c>
      <c r="FM11" s="125" t="str">
        <f>mehrsprachigkeitBegriffsrückgabe(gewählteSpracheZurückgeben(),"Property 79")</f>
        <v>Merkmal 79</v>
      </c>
      <c r="FN11" s="125" t="str">
        <f>mehrsprachigkeitBegriffsrückgabe(gewählteSpracheZurückgeben(),"Value 79")</f>
        <v>Ausprägung 79</v>
      </c>
      <c r="FO11" s="125" t="str">
        <f>mehrsprachigkeitBegriffsrückgabe(gewählteSpracheZurückgeben(),"Property 80")</f>
        <v>Merkmal 80</v>
      </c>
      <c r="FP11" s="125" t="str">
        <f>mehrsprachigkeitBegriffsrückgabe(gewählteSpracheZurückgeben(),"Value 80")</f>
        <v>Ausprägung 80</v>
      </c>
      <c r="FQ11" s="125" t="str">
        <f>mehrsprachigkeitBegriffsrückgabe(gewählteSpracheZurückgeben(),"Property 81")</f>
        <v>Merkmal 81</v>
      </c>
      <c r="FR11" s="125" t="str">
        <f>mehrsprachigkeitBegriffsrückgabe(gewählteSpracheZurückgeben(),"Value 81")</f>
        <v>Ausprägung 81</v>
      </c>
      <c r="FS11" s="125" t="str">
        <f>mehrsprachigkeitBegriffsrückgabe(gewählteSpracheZurückgeben(),"Property 82")</f>
        <v>Merkmal 82</v>
      </c>
      <c r="FT11" s="125" t="str">
        <f>mehrsprachigkeitBegriffsrückgabe(gewählteSpracheZurückgeben(),"Value 82")</f>
        <v>Ausprägung 82</v>
      </c>
      <c r="FU11" s="125" t="str">
        <f>mehrsprachigkeitBegriffsrückgabe(gewählteSpracheZurückgeben(),"Property 83")</f>
        <v>Merkmal 83</v>
      </c>
      <c r="FV11" s="125" t="str">
        <f>mehrsprachigkeitBegriffsrückgabe(gewählteSpracheZurückgeben(),"Value 83")</f>
        <v>Ausprägung 83</v>
      </c>
      <c r="FW11" s="125" t="str">
        <f>mehrsprachigkeitBegriffsrückgabe(gewählteSpracheZurückgeben(),"Property 84")</f>
        <v>Merkmal 84</v>
      </c>
      <c r="FX11" s="125" t="str">
        <f>mehrsprachigkeitBegriffsrückgabe(gewählteSpracheZurückgeben(),"Value 84")</f>
        <v>Ausprägung 84</v>
      </c>
      <c r="FY11" s="125" t="str">
        <f>mehrsprachigkeitBegriffsrückgabe(gewählteSpracheZurückgeben(),"Property 85")</f>
        <v>Merkmal 85</v>
      </c>
      <c r="FZ11" s="125" t="str">
        <f>mehrsprachigkeitBegriffsrückgabe(gewählteSpracheZurückgeben(),"Value 85")</f>
        <v>Ausprägung 85</v>
      </c>
      <c r="GA11" s="125" t="str">
        <f>mehrsprachigkeitBegriffsrückgabe(gewählteSpracheZurückgeben(),"Property 86")</f>
        <v>Merkmal 86</v>
      </c>
      <c r="GB11" s="125" t="str">
        <f>mehrsprachigkeitBegriffsrückgabe(gewählteSpracheZurückgeben(),"Value 86")</f>
        <v>Ausprägung 86</v>
      </c>
      <c r="GC11" s="125" t="str">
        <f>mehrsprachigkeitBegriffsrückgabe(gewählteSpracheZurückgeben(),"Property 87")</f>
        <v>Merkmal 87</v>
      </c>
      <c r="GD11" s="125" t="str">
        <f>mehrsprachigkeitBegriffsrückgabe(gewählteSpracheZurückgeben(),"Value 87")</f>
        <v>Ausprägung 87</v>
      </c>
      <c r="GE11" s="125" t="str">
        <f>mehrsprachigkeitBegriffsrückgabe(gewählteSpracheZurückgeben(),"Property 88")</f>
        <v>Merkmal 88</v>
      </c>
      <c r="GF11" s="125" t="str">
        <f>mehrsprachigkeitBegriffsrückgabe(gewählteSpracheZurückgeben(),"Value 88")</f>
        <v>Ausprägung 88</v>
      </c>
      <c r="GG11" s="125" t="str">
        <f>mehrsprachigkeitBegriffsrückgabe(gewählteSpracheZurückgeben(),"Property 89")</f>
        <v>Merkmal 89</v>
      </c>
      <c r="GH11" s="125" t="str">
        <f>mehrsprachigkeitBegriffsrückgabe(gewählteSpracheZurückgeben(),"Value 89")</f>
        <v>Ausprägung 89</v>
      </c>
      <c r="GI11" s="125" t="str">
        <f>mehrsprachigkeitBegriffsrückgabe(gewählteSpracheZurückgeben(),"Property 90")</f>
        <v>Merkmal 90</v>
      </c>
      <c r="GJ11" s="125" t="str">
        <f>mehrsprachigkeitBegriffsrückgabe(gewählteSpracheZurückgeben(),"Value 90")</f>
        <v>Ausprägung 90</v>
      </c>
      <c r="GK11" s="125" t="str">
        <f>mehrsprachigkeitBegriffsrückgabe(gewählteSpracheZurückgeben(),"Property 91")</f>
        <v>Merkmal 91</v>
      </c>
      <c r="GL11" s="125" t="str">
        <f>mehrsprachigkeitBegriffsrückgabe(gewählteSpracheZurückgeben(),"Value 91")</f>
        <v>Ausprägung 91</v>
      </c>
      <c r="GM11" s="125" t="str">
        <f>mehrsprachigkeitBegriffsrückgabe(gewählteSpracheZurückgeben(),"Property 92")</f>
        <v>Merkmal 92</v>
      </c>
      <c r="GN11" s="125" t="str">
        <f>mehrsprachigkeitBegriffsrückgabe(gewählteSpracheZurückgeben(),"Value 92")</f>
        <v>Ausprägung 92</v>
      </c>
      <c r="GO11" s="125" t="str">
        <f>mehrsprachigkeitBegriffsrückgabe(gewählteSpracheZurückgeben(),"Property 93")</f>
        <v>Merkmal 93</v>
      </c>
      <c r="GP11" s="125" t="str">
        <f>mehrsprachigkeitBegriffsrückgabe(gewählteSpracheZurückgeben(),"Value 93")</f>
        <v>Ausprägung 93</v>
      </c>
      <c r="GQ11" s="125" t="str">
        <f>mehrsprachigkeitBegriffsrückgabe(gewählteSpracheZurückgeben(),"Property 94")</f>
        <v>Merkmal 94</v>
      </c>
      <c r="GR11" s="125" t="str">
        <f>mehrsprachigkeitBegriffsrückgabe(gewählteSpracheZurückgeben(),"Value 94")</f>
        <v>Ausprägung 94</v>
      </c>
      <c r="GS11" s="125" t="str">
        <f>mehrsprachigkeitBegriffsrückgabe(gewählteSpracheZurückgeben(),"Property 95")</f>
        <v>Merkmal 95</v>
      </c>
      <c r="GT11" s="125" t="str">
        <f>mehrsprachigkeitBegriffsrückgabe(gewählteSpracheZurückgeben(),"Value 95")</f>
        <v>Ausprägung 95</v>
      </c>
      <c r="GU11" s="125" t="str">
        <f>mehrsprachigkeitBegriffsrückgabe(gewählteSpracheZurückgeben(),"Property 96")</f>
        <v>Merkmal 96</v>
      </c>
      <c r="GV11" s="125" t="str">
        <f>mehrsprachigkeitBegriffsrückgabe(gewählteSpracheZurückgeben(),"Value 96")</f>
        <v>Ausprägung 96</v>
      </c>
      <c r="GW11" s="125" t="str">
        <f>mehrsprachigkeitBegriffsrückgabe(gewählteSpracheZurückgeben(),"Property 97")</f>
        <v>Merkmal 97</v>
      </c>
      <c r="GX11" s="125" t="str">
        <f>mehrsprachigkeitBegriffsrückgabe(gewählteSpracheZurückgeben(),"Value 97")</f>
        <v>Ausprägung 97</v>
      </c>
      <c r="GY11" s="125" t="str">
        <f>mehrsprachigkeitBegriffsrückgabe(gewählteSpracheZurückgeben(),"Property 98")</f>
        <v>Merkmal 98</v>
      </c>
      <c r="GZ11" s="125" t="str">
        <f>mehrsprachigkeitBegriffsrückgabe(gewählteSpracheZurückgeben(),"Value 98")</f>
        <v>Ausprägung 98</v>
      </c>
      <c r="HA11" s="125" t="str">
        <f>mehrsprachigkeitBegriffsrückgabe(gewählteSpracheZurückgeben(),"Property 99")</f>
        <v>Merkmal 99</v>
      </c>
      <c r="HB11" s="125" t="str">
        <f>mehrsprachigkeitBegriffsrückgabe(gewählteSpracheZurückgeben(),"Value 99")</f>
        <v>Ausprägung 99</v>
      </c>
      <c r="HC11" s="125" t="str">
        <f>mehrsprachigkeitBegriffsrückgabe(gewählteSpracheZurückgeben(),"Property 100")</f>
        <v>Merkmal 100</v>
      </c>
      <c r="HD11" s="125" t="str">
        <f>mehrsprachigkeitBegriffsrückgabe(gewählteSpracheZurückgeben(),"Value 100")</f>
        <v>Ausprägung 100</v>
      </c>
      <c r="HE11" s="145"/>
      <c r="HF11" s="125" t="str">
        <f>mehrsprachigkeitBegriffsrückgabe(gewählteSpracheZurückgeben(),"Description")</f>
        <v>Beschreibung</v>
      </c>
      <c r="HG11" s="125" t="str">
        <f>mehrsprachigkeitBegriffsrückgabe(gewählteSpracheZurückgeben(),"Short description")</f>
        <v>Kurzbeschreibung</v>
      </c>
      <c r="HH11" s="125" t="str">
        <f>mehrsprachigkeitBegriffsrückgabe(gewählteSpracheZurückgeben(),"Category")</f>
        <v>Kategorie</v>
      </c>
      <c r="HI11" s="125" t="str">
        <f>mehrsprachigkeitBegriffsrückgabe(gewählteSpracheZurückgeben(),"Producer")</f>
        <v>Hersteller</v>
      </c>
      <c r="HJ11" s="125" t="s">
        <v>913</v>
      </c>
      <c r="HK11" s="125" t="s">
        <v>914</v>
      </c>
      <c r="HL11" s="145"/>
      <c r="HM11" s="126" t="str">
        <f>mehrsprachigkeitBegriffsrückgabe(gewählteSpracheZurückgeben(),"Price")</f>
        <v>Preis</v>
      </c>
      <c r="HN11" s="125" t="str">
        <f>mehrsprachigkeitBegriffsrückgabe(gewählteSpracheZurückgeben(),"Price: price type")</f>
        <v>Preis: Art der Preisangabe</v>
      </c>
      <c r="HO11" s="145"/>
      <c r="HP11" s="125" t="str">
        <f>mehrsprachigkeitBegriffsrückgabe(gewählteSpracheZurückgeben(),"Use scale price")</f>
        <v>Staffelpreis anwenden</v>
      </c>
      <c r="HQ11" s="125" t="str">
        <f>mehrsprachigkeitBegriffsrückgabe(gewählteSpracheZurückgeben(),"Scale price type")</f>
        <v>Art der Staffelpreisangabe</v>
      </c>
      <c r="HR11" s="125" t="str">
        <f>mehrsprachigkeitBegriffsrückgabe(gewählteSpracheZurückgeben(),"Quantity detection method")</f>
        <v>Methode zur Mengenermittlung</v>
      </c>
      <c r="HS11" s="125" t="str">
        <f>mehrsprachigkeitBegriffsrückgabe(gewählteSpracheZurückgeben(),"Always separate different configurations")</f>
        <v>Unterschiedliche Konfigurationen stets trennen</v>
      </c>
      <c r="HT11" s="125" t="str">
        <f>mehrsprachigkeitBegriffsrückgabe(gewählteSpracheZurückgeben(),"Scale price keyword")</f>
        <v>Staffelpreis-Schlüsselwort</v>
      </c>
      <c r="HU11" s="125" t="str">
        <f>mehrsprachigkeitBegriffsrückgabe(gewählteSpracheZurückgeben(),"Scale price")</f>
        <v>Staffelpreis</v>
      </c>
      <c r="HV11" s="145"/>
      <c r="HW11" s="126" t="str">
        <f>mehrsprachigkeitBegriffsrückgabe(gewählteSpracheZurückgeben(),"Old price")</f>
        <v>Alter Preis</v>
      </c>
      <c r="HX11" s="125" t="str">
        <f>mehrsprachigkeitBegriffsrückgabe(gewählteSpracheZurückgeben(),"Old price: price type")</f>
        <v>Alter Preis: Art der Preisangabe</v>
      </c>
      <c r="HY11" s="125" t="str">
        <f>mehrsprachigkeitBegriffsrückgabe(gewählteSpracheZurückgeben(),"Old price: Use")</f>
        <v>Alter Preis: Verwenden</v>
      </c>
      <c r="HZ11" s="145"/>
      <c r="IA11" s="138" t="str">
        <f>mehrsprachigkeitBegriffsrückgabe(gewählteSpracheZurückgeben(),"[G1] Use group prices")</f>
        <v>[G1] Gruppenpreis anwenden</v>
      </c>
      <c r="IB11" s="138" t="str">
        <f>mehrsprachigkeitBegriffsrückgabe(gewählteSpracheZurückgeben(),"[G1] Member groups")</f>
        <v>[G1] Mitgliedergruppen</v>
      </c>
      <c r="IC11" s="139" t="str">
        <f>mehrsprachigkeitBegriffsrückgabe(gewählteSpracheZurückgeben(),"[G1] Price")</f>
        <v>[G1] Preis</v>
      </c>
      <c r="ID11" s="138" t="str">
        <f>mehrsprachigkeitBegriffsrückgabe(gewählteSpracheZurückgeben(),"[G1] Price: Price type")</f>
        <v>[G1] Preis: Art der Preisangabe</v>
      </c>
      <c r="IE11" s="138" t="str">
        <f>mehrsprachigkeitBegriffsrückgabe(gewählteSpracheZurückgeben(),"[G1] Use scale price")</f>
        <v>[G1] Staffelpreis anwenden</v>
      </c>
      <c r="IF11" s="138" t="str">
        <f>mehrsprachigkeitBegriffsrückgabe(gewählteSpracheZurückgeben(),"[G1] Scale price type")</f>
        <v>[G1] Art der Staffelpreisangabe</v>
      </c>
      <c r="IG11" s="138" t="str">
        <f>mehrsprachigkeitBegriffsrückgabe(gewählteSpracheZurückgeben(),"[G1] Quantity detection method")</f>
        <v>[G1] Methode zur Mengenermittlung</v>
      </c>
      <c r="IH11" s="138" t="str">
        <f>mehrsprachigkeitBegriffsrückgabe(gewählteSpracheZurückgeben(),"[G1] Always separate different configurations")</f>
        <v>[G1] Unterschiedliche Konfigurationen stets trennen</v>
      </c>
      <c r="II11" s="138" t="str">
        <f>mehrsprachigkeitBegriffsrückgabe(gewählteSpracheZurückgeben(),"[G1] Scale price keyword")</f>
        <v>[G1] Staffelpreis-Schlüsselwort</v>
      </c>
      <c r="IJ11" s="138" t="str">
        <f>mehrsprachigkeitBegriffsrückgabe(gewählteSpracheZurückgeben(),"[G1] Scale price")</f>
        <v>[G1] Staffelpreis</v>
      </c>
      <c r="IK11" s="139" t="str">
        <f>mehrsprachigkeitBegriffsrückgabe(gewählteSpracheZurückgeben(),"[G1] Old price")</f>
        <v>[G1] Alter Preis</v>
      </c>
      <c r="IL11" s="138" t="str">
        <f>mehrsprachigkeitBegriffsrückgabe(gewählteSpracheZurückgeben(),"[G1] Old price: Price type")</f>
        <v>[G1] Alter Preis: Art der Preisangabe</v>
      </c>
      <c r="IM11" s="138" t="str">
        <f>mehrsprachigkeitBegriffsrückgabe(gewählteSpracheZurückgeben(),"[G1] Old price: Use")</f>
        <v>[G1] Alter Preis: Verwenden</v>
      </c>
      <c r="IN11" s="145"/>
      <c r="IO11" s="138" t="str">
        <f>mehrsprachigkeitBegriffsrückgabe(gewählteSpracheZurückgeben(),"[G2] Use group prices")</f>
        <v>[G2] Gruppenpreis anwenden</v>
      </c>
      <c r="IP11" s="138" t="str">
        <f>mehrsprachigkeitBegriffsrückgabe(gewählteSpracheZurückgeben(),"[G2] Member groups")</f>
        <v>[G2] Mitgliedergruppen</v>
      </c>
      <c r="IQ11" s="139" t="str">
        <f>mehrsprachigkeitBegriffsrückgabe(gewählteSpracheZurückgeben(),"[G2] Price")</f>
        <v>[G2] Preis</v>
      </c>
      <c r="IR11" s="138" t="str">
        <f>mehrsprachigkeitBegriffsrückgabe(gewählteSpracheZurückgeben(),"[G2] Price: Price type")</f>
        <v>[G2] Preis: Art der Preisangabe</v>
      </c>
      <c r="IS11" s="138" t="str">
        <f>mehrsprachigkeitBegriffsrückgabe(gewählteSpracheZurückgeben(),"[G2] Use scale price")</f>
        <v>[G2] Staffelpreis anwenden</v>
      </c>
      <c r="IT11" s="138" t="str">
        <f>mehrsprachigkeitBegriffsrückgabe(gewählteSpracheZurückgeben(),"[G2] Scale price type")</f>
        <v>[G2] Art der Staffelpreisangabe</v>
      </c>
      <c r="IU11" s="138" t="str">
        <f>mehrsprachigkeitBegriffsrückgabe(gewählteSpracheZurückgeben(),"[G2] Quantity detection method")</f>
        <v>[G2] Methode zur Mengenermittlung</v>
      </c>
      <c r="IV11" s="138" t="str">
        <f>mehrsprachigkeitBegriffsrückgabe(gewählteSpracheZurückgeben(),"[G2] Always separate different configurations")</f>
        <v>[G2] Unterschiedliche Konfigurationen stets trennen</v>
      </c>
      <c r="IW11" s="138" t="str">
        <f>mehrsprachigkeitBegriffsrückgabe(gewählteSpracheZurückgeben(),"[G2] Scale price keyword")</f>
        <v>[G2] Staffelpreis-Schlüsselwort</v>
      </c>
      <c r="IX11" s="138" t="str">
        <f>mehrsprachigkeitBegriffsrückgabe(gewählteSpracheZurückgeben(),"[G2] Scale price")</f>
        <v>[G2] Staffelpreis</v>
      </c>
      <c r="IY11" s="139" t="str">
        <f>mehrsprachigkeitBegriffsrückgabe(gewählteSpracheZurückgeben(),"[G2] Old price")</f>
        <v>[G2] Alter Preis</v>
      </c>
      <c r="IZ11" s="138" t="str">
        <f>mehrsprachigkeitBegriffsrückgabe(gewählteSpracheZurückgeben(),"[G2] Old price: Price type")</f>
        <v>[G2] Alter Preis: Art der Preisangabe</v>
      </c>
      <c r="JA11" s="138" t="str">
        <f>mehrsprachigkeitBegriffsrückgabe(gewählteSpracheZurückgeben(),"[G2] Old price: Use")</f>
        <v>[G2] Alter Preis: Verwenden</v>
      </c>
      <c r="JB11" s="145"/>
      <c r="JC11" s="138" t="str">
        <f>mehrsprachigkeitBegriffsrückgabe(gewählteSpracheZurückgeben(),"[G3] Use group prices")</f>
        <v>[G3] Gruppenpreis anwenden</v>
      </c>
      <c r="JD11" s="138" t="str">
        <f>mehrsprachigkeitBegriffsrückgabe(gewählteSpracheZurückgeben(),"[G3] Member groups")</f>
        <v>[G3] Mitgliedergruppen</v>
      </c>
      <c r="JE11" s="139" t="str">
        <f>mehrsprachigkeitBegriffsrückgabe(gewählteSpracheZurückgeben(),"[G3] Price")</f>
        <v>[G3] Preis</v>
      </c>
      <c r="JF11" s="138" t="str">
        <f>mehrsprachigkeitBegriffsrückgabe(gewählteSpracheZurückgeben(),"[G3] Price: Price type")</f>
        <v>[G3] Preis: Art der Preisangabe</v>
      </c>
      <c r="JG11" s="138" t="str">
        <f>mehrsprachigkeitBegriffsrückgabe(gewählteSpracheZurückgeben(),"[G3] Use scale price")</f>
        <v>[G3] Staffelpreis anwenden</v>
      </c>
      <c r="JH11" s="138" t="str">
        <f>mehrsprachigkeitBegriffsrückgabe(gewählteSpracheZurückgeben(),"[G3] Scale price type")</f>
        <v>[G3] Art der Staffelpreisangabe</v>
      </c>
      <c r="JI11" s="138" t="str">
        <f>mehrsprachigkeitBegriffsrückgabe(gewählteSpracheZurückgeben(),"[G3] Quantity detection method")</f>
        <v>[G3] Methode zur Mengenermittlung</v>
      </c>
      <c r="JJ11" s="138" t="str">
        <f>mehrsprachigkeitBegriffsrückgabe(gewählteSpracheZurückgeben(),"[G3] Always separate different configurations")</f>
        <v>[G3] Unterschiedliche Konfigurationen stets trennen</v>
      </c>
      <c r="JK11" s="138" t="str">
        <f>mehrsprachigkeitBegriffsrückgabe(gewählteSpracheZurückgeben(),"[G3] Scale price keyword")</f>
        <v>[G3] Staffelpreis-Schlüsselwort</v>
      </c>
      <c r="JL11" s="138" t="str">
        <f>mehrsprachigkeitBegriffsrückgabe(gewählteSpracheZurückgeben(),"[G3] Scale price")</f>
        <v>[G3] Staffelpreis</v>
      </c>
      <c r="JM11" s="139" t="str">
        <f>mehrsprachigkeitBegriffsrückgabe(gewählteSpracheZurückgeben(),"[G3] Old price")</f>
        <v>[G3] Alter Preis</v>
      </c>
      <c r="JN11" s="138" t="str">
        <f>mehrsprachigkeitBegriffsrückgabe(gewählteSpracheZurückgeben(),"[G3] Old price: Price type")</f>
        <v>[G3] Alter Preis: Art der Preisangabe</v>
      </c>
      <c r="JO11" s="138" t="str">
        <f>mehrsprachigkeitBegriffsrückgabe(gewählteSpracheZurückgeben(),"[G3] Old price: Use")</f>
        <v>[G3] Alter Preis: Verwenden</v>
      </c>
      <c r="JP11" s="145"/>
      <c r="JQ11" s="138" t="str">
        <f>mehrsprachigkeitBegriffsrückgabe(gewählteSpracheZurückgeben(),"[G4] Use group prices")</f>
        <v>[G4] Gruppenpreis anwenden</v>
      </c>
      <c r="JR11" s="138" t="str">
        <f>mehrsprachigkeitBegriffsrückgabe(gewählteSpracheZurückgeben(),"[G4] Member groups")</f>
        <v>[G4] Mitgliedergruppen</v>
      </c>
      <c r="JS11" s="139" t="str">
        <f>mehrsprachigkeitBegriffsrückgabe(gewählteSpracheZurückgeben(),"[G4] Price")</f>
        <v>[G4] Preis</v>
      </c>
      <c r="JT11" s="138" t="str">
        <f>mehrsprachigkeitBegriffsrückgabe(gewählteSpracheZurückgeben(),"[G4] Price: Price type")</f>
        <v>[G4] Preis: Art der Preisangabe</v>
      </c>
      <c r="JU11" s="138" t="str">
        <f>mehrsprachigkeitBegriffsrückgabe(gewählteSpracheZurückgeben(),"[G4] Use scale price")</f>
        <v>[G4] Staffelpreis anwenden</v>
      </c>
      <c r="JV11" s="138" t="str">
        <f>mehrsprachigkeitBegriffsrückgabe(gewählteSpracheZurückgeben(),"[G4] Scale price type")</f>
        <v>[G4] Art der Staffelpreisangabe</v>
      </c>
      <c r="JW11" s="138" t="str">
        <f>mehrsprachigkeitBegriffsrückgabe(gewählteSpracheZurückgeben(),"[G4] Quantity detection method")</f>
        <v>[G4] Methode zur Mengenermittlung</v>
      </c>
      <c r="JX11" s="138" t="str">
        <f>mehrsprachigkeitBegriffsrückgabe(gewählteSpracheZurückgeben(),"[G4] Always separate different configurations")</f>
        <v>[G4] Unterschiedliche Konfigurationen stets trennen</v>
      </c>
      <c r="JY11" s="138" t="str">
        <f>mehrsprachigkeitBegriffsrückgabe(gewählteSpracheZurückgeben(),"[G4] Scale price keyword")</f>
        <v>[G4] Staffelpreis-Schlüsselwort</v>
      </c>
      <c r="JZ11" s="138" t="str">
        <f>mehrsprachigkeitBegriffsrückgabe(gewählteSpracheZurückgeben(),"[G4] Scale price")</f>
        <v>[G4] Staffelpreis</v>
      </c>
      <c r="KA11" s="139" t="str">
        <f>mehrsprachigkeitBegriffsrückgabe(gewählteSpracheZurückgeben(),"[G4] Old price")</f>
        <v>[G4] Alter Preis</v>
      </c>
      <c r="KB11" s="138" t="str">
        <f>mehrsprachigkeitBegriffsrückgabe(gewählteSpracheZurückgeben(),"[G4] Old price: Price type")</f>
        <v>[G4] Alter Preis: Art der Preisangabe</v>
      </c>
      <c r="KC11" s="138" t="str">
        <f>mehrsprachigkeitBegriffsrückgabe(gewählteSpracheZurückgeben(),"[G4] Old price: Use")</f>
        <v>[G4] Alter Preis: Verwenden</v>
      </c>
      <c r="KD11" s="145"/>
      <c r="KE11" s="138" t="str">
        <f>mehrsprachigkeitBegriffsrückgabe(gewählteSpracheZurückgeben(),"[G5] Use group prices")</f>
        <v>[G5] Gruppenpreise anwenden</v>
      </c>
      <c r="KF11" s="138" t="str">
        <f>mehrsprachigkeitBegriffsrückgabe(gewählteSpracheZurückgeben(),"[G5] Member groups")</f>
        <v>[G5] Mitgliedergruppen</v>
      </c>
      <c r="KG11" s="139" t="str">
        <f>mehrsprachigkeitBegriffsrückgabe(gewählteSpracheZurückgeben(),"[G5] Price")</f>
        <v>[G5] Preis</v>
      </c>
      <c r="KH11" s="138" t="str">
        <f>mehrsprachigkeitBegriffsrückgabe(gewählteSpracheZurückgeben(),"[G5] Price: Price type")</f>
        <v>[G5] Preis: Art der Preisangabe</v>
      </c>
      <c r="KI11" s="138" t="str">
        <f>mehrsprachigkeitBegriffsrückgabe(gewählteSpracheZurückgeben(),"[G5] Use scale price")</f>
        <v>[G5] Staffelpreis anwenden</v>
      </c>
      <c r="KJ11" s="138" t="str">
        <f>mehrsprachigkeitBegriffsrückgabe(gewählteSpracheZurückgeben(),"[G5] Scale price type")</f>
        <v>[G5] Art der Staffelpreisangabe</v>
      </c>
      <c r="KK11" s="138" t="str">
        <f>mehrsprachigkeitBegriffsrückgabe(gewählteSpracheZurückgeben(),"[G5] Quantity detection method")</f>
        <v>[G5] Methode zur Mengenermittlung</v>
      </c>
      <c r="KL11" s="138" t="str">
        <f>mehrsprachigkeitBegriffsrückgabe(gewählteSpracheZurückgeben(),"[G5] Always separate different configurations")</f>
        <v>[G5] Unterschiedliche Konfigurationen stets trennen</v>
      </c>
      <c r="KM11" s="138" t="str">
        <f>mehrsprachigkeitBegriffsrückgabe(gewählteSpracheZurückgeben(),"[G5] Scale price keyword")</f>
        <v>[G5] Staffelpreis-Schlüsselwort</v>
      </c>
      <c r="KN11" s="138" t="str">
        <f>mehrsprachigkeitBegriffsrückgabe(gewählteSpracheZurückgeben(),"[G5] Scale price")</f>
        <v>[G5] Staffelpreis</v>
      </c>
      <c r="KO11" s="139" t="str">
        <f>mehrsprachigkeitBegriffsrückgabe(gewählteSpracheZurückgeben(),"[G5] Old price")</f>
        <v>[G5] Alter Preis</v>
      </c>
      <c r="KP11" s="138" t="str">
        <f>mehrsprachigkeitBegriffsrückgabe(gewählteSpracheZurückgeben(),"[G5] Old price: Price type")</f>
        <v>[G5] Alter Preis: Art der Preisangabe</v>
      </c>
      <c r="KQ11" s="138" t="str">
        <f>mehrsprachigkeitBegriffsrückgabe(gewählteSpracheZurückgeben(),"[G5] Old price: Use")</f>
        <v>[G5] Alter Preis: Verwenden</v>
      </c>
      <c r="KR11" s="145"/>
      <c r="KS11" s="125" t="str">
        <f>mehrsprachigkeitBegriffsrückgabe(gewählteSpracheZurückgeben(),"Tax class")</f>
        <v>Steuersatz</v>
      </c>
      <c r="KT11" s="127" t="str">
        <f>mehrsprachigkeitBegriffsrückgabe(gewählteSpracheZurückgeben(),"Weight")</f>
        <v>Gewicht</v>
      </c>
      <c r="KU11" s="125" t="str">
        <f>mehrsprachigkeitBegriffsrückgabe(gewählteSpracheZurückgeben(),"Weight type")</f>
        <v>Art der Gewichtsangabe</v>
      </c>
      <c r="KV11" s="125" t="str">
        <f>mehrsprachigkeitBegriffsrückgabe(gewählteSpracheZurückgeben(),"Unit")</f>
        <v>Mengeneinheit</v>
      </c>
      <c r="KW11" s="125" t="str">
        <f>mehrsprachigkeitBegriffsrückgabe(gewählteSpracheZurückgeben(),"Quantity comparison unit")</f>
        <v>Einheit für Mengenvergleichspreis</v>
      </c>
      <c r="KX11" s="128" t="str">
        <f>mehrsprachigkeitBegriffsrückgabe(gewählteSpracheZurückgeben(),"Quantity comparison divisor")</f>
        <v>Teiler zur Berechnung des Mengenvergleichspreises</v>
      </c>
      <c r="KY11" s="129" t="str">
        <f>mehrsprachigkeitBegriffsrückgabe(gewählteSpracheZurückgeben(),"Quantity decimals")</f>
        <v>Nachkommastellen für die Menge</v>
      </c>
      <c r="KZ11" s="129" t="str">
        <f>mehrsprachigkeitBegriffsrückgabe(gewählteSpracheZurückgeben(),"Pieces per sales unit")</f>
        <v/>
      </c>
      <c r="LA11" s="129" t="str">
        <f>mehrsprachigkeitBegriffsrückgabe(gewählteSpracheZurückgeben(),"Piece label of the sales unit")</f>
        <v/>
      </c>
      <c r="LB11" s="129" t="str">
        <f>mehrsprachigkeitBegriffsrückgabe(gewählteSpracheZurückgeben(),"Minimum order quantity")</f>
        <v/>
      </c>
      <c r="LC11" s="125" t="str">
        <f>mehrsprachigkeitBegriffsrückgabe(gewählteSpracheZurückgeben(),"New")</f>
        <v>Neuheit</v>
      </c>
      <c r="LD11" s="125" t="str">
        <f>mehrsprachigkeitBegriffsrückgabe(gewählteSpracheZurückgeben(),"On sale")</f>
        <v>Sonderpreis</v>
      </c>
      <c r="LE11" s="125" t="str">
        <f>mehrsprachigkeitBegriffsrückgabe(gewählteSpracheZurückgeben(),"Keywords")</f>
        <v>Schlüsselwörter</v>
      </c>
      <c r="LF11" s="130" t="str">
        <f>mehrsprachigkeitBegriffsrückgabe(gewählteSpracheZurückgeben(),"Image")</f>
        <v>Hauptbild</v>
      </c>
      <c r="LG11" s="130" t="str">
        <f>mehrsprachigkeitBegriffsrückgabe(gewählteSpracheZurückgeben(),"More images")</f>
        <v>Weitere Bilder</v>
      </c>
      <c r="LH11" s="125" t="str">
        <f>mehrsprachigkeitBegriffsrückgabe(gewählteSpracheZurückgeben(),"Change stock")</f>
        <v>Lagerbest.-Änd.</v>
      </c>
      <c r="LI11" s="125" t="str">
        <f>mehrsprachigkeitBegriffsrückgabe(gewählteSpracheZurückgeben(),"Settings for stock and delivery time")</f>
        <v>Einstellungen zu Lagerbestand und Lieferzeit</v>
      </c>
      <c r="LJ11" s="125" t="str">
        <f>mehrsprachigkeitBegriffsrückgabe(gewählteSpracheZurückgeben(),"Override availability settings of parent product")</f>
        <v>Verfügbarkeits-Einstellungen des übergeordneten Produkts überschreiben</v>
      </c>
      <c r="LK11" s="125" t="str">
        <f>mehrsprachigkeitBegriffsrückgabe(gewählteSpracheZurückgeben(),"Available from")</f>
        <v>Verfügbar ab</v>
      </c>
      <c r="LL11" s="125" t="str">
        <f>mehrsprachigkeitBegriffsrückgabe(gewählteSpracheZurückgeben(),"Preordering Allowed")</f>
        <v>Vorbestellungen erlaubt</v>
      </c>
      <c r="LM11" s="125" t="str">
        <f>mehrsprachigkeitBegriffsrückgabe(gewählteSpracheZurückgeben(),"Settings for stock and delivery time in preorder Phase")</f>
        <v>Einstellungen zu Lagerbestand und Lieferzeit in Vorbestellungsphase</v>
      </c>
      <c r="LN11" s="125" t="str">
        <f>mehrsprachigkeitBegriffsrückgabe(gewählteSpracheZurückgeben(),"Recommended products")</f>
        <v>Empfohlene Produkte</v>
      </c>
      <c r="LO11" s="125" t="str">
        <f>mehrsprachigkeitBegriffsrückgabe(gewählteSpracheZurückgeben(),"Configurator")</f>
        <v>Konfigurator</v>
      </c>
      <c r="LP11" s="125" t="str">
        <f>mehrsprachigkeitBegriffsrückgabe(gewählteSpracheZurückgeben(),"Template")</f>
        <v>Template für Produktdarstellung</v>
      </c>
      <c r="LQ11" s="145"/>
      <c r="LR11" s="125" t="str">
        <f>mehrsprachigkeitBegriffsrückgabe(gewählteSpracheZurückgeben(),"flexContent1")</f>
        <v>flexContent1</v>
      </c>
      <c r="LS11" s="125" t="str">
        <f>mehrsprachigkeitBegriffsrückgabe(gewählteSpracheZurückgeben(),"flexContent2")</f>
        <v>flexContent2</v>
      </c>
      <c r="LT11" s="125" t="str">
        <f>mehrsprachigkeitBegriffsrückgabe(gewählteSpracheZurückgeben(),"flexContent3")</f>
        <v>flexContent3</v>
      </c>
      <c r="LU11" s="125" t="str">
        <f>mehrsprachigkeitBegriffsrückgabe(gewählteSpracheZurückgeben(),"flexContent4")</f>
        <v>flexContent4</v>
      </c>
      <c r="LV11" s="125" t="str">
        <f>mehrsprachigkeitBegriffsrückgabe(gewählteSpracheZurückgeben(),"flexContent5")</f>
        <v>flexContent5</v>
      </c>
      <c r="LW11" s="125" t="str">
        <f>mehrsprachigkeitBegriffsrückgabe(gewählteSpracheZurückgeben(),"flexContent6")</f>
        <v>flexContent6</v>
      </c>
      <c r="LX11" s="125" t="str">
        <f>mehrsprachigkeitBegriffsrückgabe(gewählteSpracheZurückgeben(),"flexContent7")</f>
        <v>flexContent7</v>
      </c>
      <c r="LY11" s="125" t="str">
        <f>mehrsprachigkeitBegriffsrückgabe(gewählteSpracheZurückgeben(),"flexContent8")</f>
        <v>flexContent8</v>
      </c>
      <c r="LZ11" s="125" t="str">
        <f>mehrsprachigkeitBegriffsrückgabe(gewählteSpracheZurückgeben(),"flexContent9")</f>
        <v>flexContent9</v>
      </c>
      <c r="MA11" s="125" t="str">
        <f>mehrsprachigkeitBegriffsrückgabe(gewählteSpracheZurückgeben(),"flexContent10")</f>
        <v>flexContent10</v>
      </c>
      <c r="MB11" s="145"/>
      <c r="MC11" s="125" t="str">
        <f>mehrsprachigkeitBegriffsrückgabe(gewählteSpracheZurückgeben(),"flexContent1 language independent")</f>
        <v>flexContent1 sprachunabhängig</v>
      </c>
      <c r="MD11" s="125" t="str">
        <f>mehrsprachigkeitBegriffsrückgabe(gewählteSpracheZurückgeben(),"flexContent2 language independent")</f>
        <v>flexContent2 sprachunabhängig</v>
      </c>
      <c r="ME11" s="125" t="str">
        <f>mehrsprachigkeitBegriffsrückgabe(gewählteSpracheZurückgeben(),"flexContent3 language independent")</f>
        <v>flexContent3 sprachunabhängig</v>
      </c>
      <c r="MF11" s="125" t="str">
        <f>mehrsprachigkeitBegriffsrückgabe(gewählteSpracheZurückgeben(),"flexContent4 language independent")</f>
        <v>flexContent4 sprachunabhängig</v>
      </c>
      <c r="MG11" s="125" t="str">
        <f>mehrsprachigkeitBegriffsrückgabe(gewählteSpracheZurückgeben(),"flexContent5 language independent")</f>
        <v>flexContent5 sprachunabhängig</v>
      </c>
      <c r="MH11" s="125" t="str">
        <f>mehrsprachigkeitBegriffsrückgabe(gewählteSpracheZurückgeben(),"flexContent6 language independent")</f>
        <v>flexContent6 sprachunabhängig</v>
      </c>
      <c r="MI11" s="125" t="str">
        <f>mehrsprachigkeitBegriffsrückgabe(gewählteSpracheZurückgeben(),"flexContent7 language independent")</f>
        <v>flexContent7 sprachunabhängig</v>
      </c>
      <c r="MJ11" s="125" t="str">
        <f>mehrsprachigkeitBegriffsrückgabe(gewählteSpracheZurückgeben(),"flexContent8 language independent")</f>
        <v>flexContent8 sprachunabhängig</v>
      </c>
      <c r="MK11" s="125" t="str">
        <f>mehrsprachigkeitBegriffsrückgabe(gewählteSpracheZurückgeben(),"flexContent9 language independent")</f>
        <v>flexContent9 sprachunabhängig</v>
      </c>
      <c r="ML11" s="125" t="str">
        <f>mehrsprachigkeitBegriffsrückgabe(gewählteSpracheZurückgeben(),"flexContent10 language independent")</f>
        <v>flexContent10 sprachunabhängig</v>
      </c>
    </row>
    <row r="12" spans="1:350" ht="15.95" customHeight="1" x14ac:dyDescent="0.3">
      <c r="B12" s="162"/>
      <c r="C12" s="162"/>
      <c r="D12" s="162">
        <v>1</v>
      </c>
      <c r="F12" s="71" t="str">
        <f>mehrsprachigkeitBegriffsrückgabe(gewählteSpracheZurückgeben(), "Product")</f>
        <v>Produkt</v>
      </c>
      <c r="G12" s="72" t="s">
        <v>747</v>
      </c>
      <c r="H12" s="72" t="s">
        <v>113</v>
      </c>
      <c r="I12" s="72" t="s">
        <v>86</v>
      </c>
      <c r="J12" s="72" t="s">
        <v>748</v>
      </c>
      <c r="K12" s="72" t="s">
        <v>749</v>
      </c>
      <c r="M12" s="150" t="s">
        <v>532</v>
      </c>
      <c r="N12" s="72" t="s">
        <v>729</v>
      </c>
      <c r="O12" s="72" t="s">
        <v>523</v>
      </c>
      <c r="P12" s="72" t="s">
        <v>703</v>
      </c>
      <c r="Q12" s="72" t="s">
        <v>523</v>
      </c>
      <c r="R12" s="72" t="s">
        <v>704</v>
      </c>
      <c r="S12" s="72" t="s">
        <v>523</v>
      </c>
      <c r="T12" s="72" t="s">
        <v>529</v>
      </c>
      <c r="U12" s="72" t="s">
        <v>523</v>
      </c>
      <c r="V12" s="72" t="s">
        <v>526</v>
      </c>
      <c r="W12" s="72" t="s">
        <v>523</v>
      </c>
      <c r="X12" s="72" t="s">
        <v>705</v>
      </c>
      <c r="Y12" s="72" t="s">
        <v>523</v>
      </c>
      <c r="Z12" s="72" t="s">
        <v>706</v>
      </c>
      <c r="AA12" s="72" t="s">
        <v>523</v>
      </c>
      <c r="AB12" s="72" t="s">
        <v>707</v>
      </c>
      <c r="BA12" s="147"/>
      <c r="BB12" s="173"/>
      <c r="BF12" s="147"/>
      <c r="BG12" s="83"/>
      <c r="BH12" s="73"/>
      <c r="BI12" s="147"/>
      <c r="BJ12" s="77"/>
      <c r="BK12" s="73"/>
      <c r="BL12" s="73"/>
      <c r="BM12" s="77"/>
      <c r="BN12" s="73"/>
      <c r="BO12" s="73"/>
      <c r="BP12" s="147"/>
      <c r="BQ12" s="83"/>
      <c r="BR12" s="73"/>
      <c r="BS12" s="77"/>
      <c r="BT12" s="147"/>
      <c r="BU12" s="77"/>
      <c r="BV12" s="77"/>
      <c r="BW12" s="83"/>
      <c r="BX12" s="73"/>
      <c r="BY12" s="77"/>
      <c r="BZ12" s="73"/>
      <c r="CA12" s="73"/>
      <c r="CB12" s="77"/>
      <c r="CC12" s="73"/>
      <c r="CD12" s="73"/>
      <c r="CE12" s="83"/>
      <c r="CF12" s="73"/>
      <c r="CG12" s="77"/>
      <c r="CH12" s="147"/>
      <c r="CI12" s="77"/>
      <c r="CJ12" s="77"/>
      <c r="CK12" s="83"/>
      <c r="CL12" s="73"/>
      <c r="CM12" s="77"/>
      <c r="CN12" s="73"/>
      <c r="CO12" s="73"/>
      <c r="CP12" s="77"/>
      <c r="CQ12" s="73"/>
      <c r="CR12" s="73"/>
      <c r="CS12" s="83"/>
      <c r="CT12" s="73"/>
      <c r="CU12" s="77"/>
      <c r="CV12" s="147"/>
      <c r="CW12" s="77"/>
      <c r="CX12" s="77"/>
      <c r="CY12" s="83"/>
      <c r="CZ12" s="73"/>
      <c r="DA12" s="77"/>
      <c r="DB12" s="73"/>
      <c r="DC12" s="73"/>
      <c r="DD12" s="77"/>
      <c r="DE12" s="73"/>
      <c r="DF12" s="73"/>
      <c r="DG12" s="83"/>
      <c r="DH12" s="73"/>
      <c r="DI12" s="77"/>
      <c r="DJ12" s="147"/>
      <c r="DK12" s="77"/>
      <c r="DL12" s="77"/>
      <c r="DM12" s="83"/>
      <c r="DN12" s="73"/>
      <c r="DO12" s="77"/>
      <c r="DP12" s="73"/>
      <c r="DQ12" s="73"/>
      <c r="DR12" s="77"/>
      <c r="DS12" s="73"/>
      <c r="DT12" s="73"/>
      <c r="DU12" s="83"/>
      <c r="DV12" s="73"/>
      <c r="DW12" s="77"/>
      <c r="DX12" s="147"/>
      <c r="DY12" s="77"/>
      <c r="DZ12" s="77"/>
      <c r="EA12" s="83"/>
      <c r="EB12" s="73"/>
      <c r="EC12" s="77"/>
      <c r="ED12" s="73"/>
      <c r="EE12" s="73"/>
      <c r="EF12" s="77"/>
      <c r="EG12" s="73"/>
      <c r="EH12" s="73"/>
      <c r="EI12" s="83"/>
      <c r="EJ12" s="73"/>
      <c r="EK12" s="77"/>
      <c r="EL12" s="147"/>
      <c r="EN12" s="74"/>
      <c r="EO12" s="73"/>
      <c r="ER12" s="75"/>
      <c r="ES12" s="76"/>
      <c r="ET12" s="77"/>
      <c r="EU12" s="77"/>
      <c r="EV12" s="78"/>
      <c r="EW12" s="174"/>
      <c r="FA12" s="172"/>
      <c r="FB12" s="163"/>
      <c r="FC12" s="172"/>
      <c r="FH12" s="147"/>
      <c r="FL12" s="71"/>
      <c r="FM12" s="71"/>
      <c r="FN12" s="71"/>
      <c r="FO12" s="71"/>
      <c r="FP12" s="71"/>
      <c r="FQ12" s="71"/>
      <c r="FR12" s="71"/>
      <c r="FS12" s="147"/>
      <c r="FW12" s="71"/>
      <c r="FX12" s="71"/>
      <c r="FY12" s="71"/>
      <c r="FZ12" s="71"/>
      <c r="GA12" s="71"/>
      <c r="GB12" s="71"/>
      <c r="GC12" s="71"/>
      <c r="GD12" s="71"/>
      <c r="GE12" s="71"/>
      <c r="GF12" s="71"/>
      <c r="GG12" s="71"/>
      <c r="GH12" s="71"/>
      <c r="GI12" s="71"/>
      <c r="GJ12" s="71"/>
      <c r="GK12" s="71"/>
      <c r="GL12" s="71"/>
      <c r="GM12" s="71"/>
      <c r="GN12" s="71"/>
      <c r="GO12" s="71"/>
      <c r="GP12" s="71"/>
      <c r="GQ12" s="71"/>
      <c r="GR12" s="71"/>
      <c r="GS12" s="71"/>
      <c r="GT12" s="71"/>
      <c r="GU12" s="71"/>
      <c r="GV12" s="71"/>
      <c r="GW12" s="71"/>
      <c r="GX12" s="71"/>
      <c r="GY12" s="71"/>
      <c r="GZ12" s="71"/>
      <c r="HA12" s="71"/>
      <c r="HB12" s="71"/>
      <c r="HC12" s="71"/>
      <c r="HD12" s="71"/>
      <c r="HF12" s="173" t="s">
        <v>750</v>
      </c>
      <c r="HG12" s="72" t="s">
        <v>751</v>
      </c>
      <c r="HH12" s="72" t="s">
        <v>734</v>
      </c>
      <c r="HI12" s="72" t="s">
        <v>752</v>
      </c>
      <c r="HM12" s="83">
        <v>2.5</v>
      </c>
      <c r="HP12" s="77">
        <v>1</v>
      </c>
      <c r="HQ12" s="73" t="str">
        <f>mehrsprachigkeitBegriffsrückgabe(gewählteSpracheZurückgeben(), "Fixed scale price")</f>
        <v>Feste Preisangabe</v>
      </c>
      <c r="HR12" s="73" t="str">
        <f>mehrsprachigkeitBegriffsrückgabe(gewählteSpracheZurückgeben(), "Separated by products, variants and configurations")</f>
        <v>Produkte, Varianten und Konfigurationen getrennt</v>
      </c>
      <c r="HU12" s="73" t="s">
        <v>753</v>
      </c>
      <c r="HW12" s="83">
        <v>3.5</v>
      </c>
      <c r="HY12" s="77">
        <v>1</v>
      </c>
      <c r="KS12" s="72" t="s">
        <v>115</v>
      </c>
      <c r="KT12" s="74">
        <v>0</v>
      </c>
      <c r="KV12" s="72" t="s">
        <v>741</v>
      </c>
      <c r="KW12" s="72" t="s">
        <v>77</v>
      </c>
      <c r="KX12" s="75">
        <v>5</v>
      </c>
      <c r="KY12" s="76">
        <v>0</v>
      </c>
      <c r="LC12" s="77">
        <v>1</v>
      </c>
      <c r="LF12" s="174" t="s">
        <v>754</v>
      </c>
      <c r="LG12" s="72" t="s">
        <v>755</v>
      </c>
      <c r="LH12" s="72" t="s">
        <v>756</v>
      </c>
      <c r="LI12" s="72" t="s">
        <v>745</v>
      </c>
      <c r="LO12" s="72" t="s">
        <v>116</v>
      </c>
      <c r="LS12" s="72" t="s">
        <v>757</v>
      </c>
      <c r="LT12" s="72" t="s">
        <v>751</v>
      </c>
    </row>
    <row r="13" spans="1:350" ht="15.95" customHeight="1" x14ac:dyDescent="0.25">
      <c r="B13" s="162"/>
      <c r="C13" s="162"/>
      <c r="D13" s="162"/>
      <c r="F13" s="71" t="str">
        <f>mehrsprachigkeitBegriffsrückgabe(gewählteSpracheZurückgeben(), "Product (foreign language)")</f>
        <v>Produkt (Fremdsprache)</v>
      </c>
      <c r="H13" s="72" t="s">
        <v>747</v>
      </c>
      <c r="I13" s="72" t="s">
        <v>94</v>
      </c>
      <c r="J13" s="72" t="s">
        <v>758</v>
      </c>
      <c r="K13" s="72" t="s">
        <v>759</v>
      </c>
      <c r="BA13" s="147"/>
      <c r="BF13" s="147"/>
      <c r="BG13" s="83"/>
      <c r="BH13" s="73"/>
      <c r="BI13" s="147"/>
      <c r="BJ13" s="77"/>
      <c r="BK13" s="73"/>
      <c r="BL13" s="73"/>
      <c r="BM13" s="77"/>
      <c r="BN13" s="73"/>
      <c r="BO13" s="73"/>
      <c r="BP13" s="147"/>
      <c r="BQ13" s="83"/>
      <c r="BR13" s="73"/>
      <c r="BS13" s="77"/>
      <c r="BT13" s="147"/>
      <c r="BU13" s="77"/>
      <c r="BV13" s="77"/>
      <c r="BW13" s="83"/>
      <c r="BX13" s="73"/>
      <c r="BY13" s="77"/>
      <c r="BZ13" s="73"/>
      <c r="CA13" s="73"/>
      <c r="CB13" s="77"/>
      <c r="CC13" s="73"/>
      <c r="CD13" s="73"/>
      <c r="CE13" s="83"/>
      <c r="CF13" s="73"/>
      <c r="CG13" s="77"/>
      <c r="CH13" s="147"/>
      <c r="CI13" s="77"/>
      <c r="CJ13" s="77"/>
      <c r="CK13" s="83"/>
      <c r="CL13" s="73"/>
      <c r="CM13" s="77"/>
      <c r="CN13" s="73"/>
      <c r="CO13" s="73"/>
      <c r="CP13" s="77"/>
      <c r="CQ13" s="73"/>
      <c r="CR13" s="73"/>
      <c r="CS13" s="83"/>
      <c r="CT13" s="73"/>
      <c r="CU13" s="77"/>
      <c r="CV13" s="147"/>
      <c r="CW13" s="77"/>
      <c r="CX13" s="77"/>
      <c r="CY13" s="83"/>
      <c r="CZ13" s="73"/>
      <c r="DA13" s="77"/>
      <c r="DB13" s="73"/>
      <c r="DC13" s="73"/>
      <c r="DD13" s="77"/>
      <c r="DE13" s="73"/>
      <c r="DF13" s="73"/>
      <c r="DG13" s="83"/>
      <c r="DH13" s="73"/>
      <c r="DI13" s="77"/>
      <c r="DJ13" s="147"/>
      <c r="DK13" s="77"/>
      <c r="DL13" s="77"/>
      <c r="DM13" s="83"/>
      <c r="DN13" s="73"/>
      <c r="DO13" s="77"/>
      <c r="DP13" s="73"/>
      <c r="DQ13" s="73"/>
      <c r="DR13" s="77"/>
      <c r="DS13" s="73"/>
      <c r="DT13" s="73"/>
      <c r="DU13" s="83"/>
      <c r="DV13" s="73"/>
      <c r="DW13" s="77"/>
      <c r="DX13" s="147"/>
      <c r="DY13" s="77"/>
      <c r="DZ13" s="77"/>
      <c r="EA13" s="83"/>
      <c r="EB13" s="73"/>
      <c r="EC13" s="77"/>
      <c r="ED13" s="73"/>
      <c r="EE13" s="73"/>
      <c r="EF13" s="77"/>
      <c r="EG13" s="73"/>
      <c r="EH13" s="73"/>
      <c r="EI13" s="83"/>
      <c r="EJ13" s="73"/>
      <c r="EK13" s="77"/>
      <c r="EL13" s="147"/>
      <c r="EN13" s="74"/>
      <c r="EO13" s="73"/>
      <c r="ER13" s="75"/>
      <c r="ES13" s="76"/>
      <c r="ET13" s="77"/>
      <c r="EU13" s="77"/>
      <c r="EV13" s="78"/>
      <c r="FA13" s="172"/>
      <c r="FB13" s="163"/>
      <c r="FC13" s="172"/>
      <c r="FH13" s="147"/>
      <c r="FL13" s="71"/>
      <c r="FM13" s="71"/>
      <c r="FN13" s="71"/>
      <c r="FO13" s="71"/>
      <c r="FP13" s="71"/>
      <c r="FQ13" s="71"/>
      <c r="FR13" s="71"/>
      <c r="FS13" s="147"/>
      <c r="FW13" s="71"/>
      <c r="FX13" s="71"/>
      <c r="FY13" s="71"/>
      <c r="FZ13" s="71"/>
      <c r="GA13" s="71"/>
      <c r="GB13" s="71"/>
      <c r="GC13" s="71"/>
      <c r="GD13" s="71"/>
      <c r="GE13" s="71"/>
      <c r="GF13" s="71"/>
      <c r="GG13" s="71"/>
      <c r="GH13" s="71"/>
      <c r="GI13" s="71"/>
      <c r="GJ13" s="71"/>
      <c r="GK13" s="71"/>
      <c r="GL13" s="71"/>
      <c r="GM13" s="71"/>
      <c r="GN13" s="71"/>
      <c r="GO13" s="71"/>
      <c r="GP13" s="71"/>
      <c r="GQ13" s="71"/>
      <c r="GR13" s="71"/>
      <c r="GS13" s="71"/>
      <c r="GT13" s="71"/>
      <c r="GU13" s="71"/>
      <c r="GV13" s="71"/>
      <c r="GW13" s="71"/>
      <c r="GX13" s="71"/>
      <c r="GY13" s="71"/>
      <c r="GZ13" s="71"/>
      <c r="HA13" s="71"/>
      <c r="HB13" s="71"/>
      <c r="HC13" s="71"/>
      <c r="HD13" s="71"/>
      <c r="HF13" s="72" t="s">
        <v>750</v>
      </c>
      <c r="HG13" s="72" t="s">
        <v>751</v>
      </c>
      <c r="KV13" s="72" t="s">
        <v>742</v>
      </c>
      <c r="KW13" s="72" t="s">
        <v>743</v>
      </c>
    </row>
    <row r="14" spans="1:350" ht="15.95" customHeight="1" x14ac:dyDescent="0.25">
      <c r="B14" s="162"/>
      <c r="C14" s="162"/>
      <c r="D14" s="162">
        <v>1</v>
      </c>
      <c r="F14" s="71" t="str">
        <f>mehrsprachigkeitBegriffsrückgabe(gewählteSpracheZurückgeben(), "Product")</f>
        <v>Produkt</v>
      </c>
      <c r="G14" s="72" t="s">
        <v>760</v>
      </c>
      <c r="H14" s="72" t="s">
        <v>113</v>
      </c>
      <c r="I14" s="72" t="s">
        <v>86</v>
      </c>
      <c r="J14" s="72" t="s">
        <v>761</v>
      </c>
      <c r="K14" s="72" t="s">
        <v>762</v>
      </c>
      <c r="BA14" s="147"/>
      <c r="BB14" s="173"/>
      <c r="BF14" s="147"/>
      <c r="BG14" s="83"/>
      <c r="BH14" s="73"/>
      <c r="BI14" s="147"/>
      <c r="BJ14" s="77"/>
      <c r="BK14" s="73"/>
      <c r="BL14" s="73"/>
      <c r="BM14" s="77"/>
      <c r="BN14" s="73"/>
      <c r="BO14" s="73"/>
      <c r="BP14" s="147"/>
      <c r="BQ14" s="83"/>
      <c r="BR14" s="73"/>
      <c r="BS14" s="77"/>
      <c r="BT14" s="147"/>
      <c r="BU14" s="77"/>
      <c r="BV14" s="77"/>
      <c r="BW14" s="83"/>
      <c r="BX14" s="73"/>
      <c r="BY14" s="77"/>
      <c r="BZ14" s="73"/>
      <c r="CA14" s="73"/>
      <c r="CB14" s="77"/>
      <c r="CC14" s="73"/>
      <c r="CD14" s="73"/>
      <c r="CE14" s="83"/>
      <c r="CF14" s="73"/>
      <c r="CG14" s="77"/>
      <c r="CH14" s="147"/>
      <c r="CI14" s="77"/>
      <c r="CJ14" s="77"/>
      <c r="CK14" s="83"/>
      <c r="CL14" s="73"/>
      <c r="CM14" s="77"/>
      <c r="CN14" s="73"/>
      <c r="CO14" s="73"/>
      <c r="CP14" s="77"/>
      <c r="CQ14" s="73"/>
      <c r="CR14" s="73"/>
      <c r="CS14" s="83"/>
      <c r="CT14" s="73"/>
      <c r="CU14" s="77"/>
      <c r="CV14" s="147"/>
      <c r="CW14" s="77"/>
      <c r="CX14" s="77"/>
      <c r="CY14" s="83"/>
      <c r="CZ14" s="73"/>
      <c r="DA14" s="77"/>
      <c r="DB14" s="73"/>
      <c r="DC14" s="73"/>
      <c r="DD14" s="77"/>
      <c r="DE14" s="73"/>
      <c r="DF14" s="73"/>
      <c r="DG14" s="83"/>
      <c r="DH14" s="73"/>
      <c r="DI14" s="77"/>
      <c r="DJ14" s="147"/>
      <c r="DK14" s="77"/>
      <c r="DL14" s="77"/>
      <c r="DM14" s="83"/>
      <c r="DN14" s="73"/>
      <c r="DO14" s="77"/>
      <c r="DP14" s="73"/>
      <c r="DQ14" s="73"/>
      <c r="DR14" s="77"/>
      <c r="DS14" s="73"/>
      <c r="DT14" s="73"/>
      <c r="DU14" s="83"/>
      <c r="DV14" s="73"/>
      <c r="DW14" s="77"/>
      <c r="DX14" s="147"/>
      <c r="DY14" s="77"/>
      <c r="DZ14" s="77"/>
      <c r="EA14" s="83"/>
      <c r="EB14" s="73"/>
      <c r="EC14" s="77"/>
      <c r="ED14" s="73"/>
      <c r="EE14" s="73"/>
      <c r="EF14" s="77"/>
      <c r="EG14" s="73"/>
      <c r="EH14" s="73"/>
      <c r="EI14" s="83"/>
      <c r="EJ14" s="73"/>
      <c r="EK14" s="77"/>
      <c r="EL14" s="147"/>
      <c r="EN14" s="74"/>
      <c r="EO14" s="73"/>
      <c r="ER14" s="75"/>
      <c r="ES14" s="76"/>
      <c r="ET14" s="77"/>
      <c r="EU14" s="77"/>
      <c r="EV14" s="78"/>
      <c r="FA14" s="172"/>
      <c r="FB14" s="163"/>
      <c r="FC14" s="172"/>
      <c r="FH14" s="147"/>
      <c r="FL14" s="71"/>
      <c r="FM14" s="71"/>
      <c r="FN14" s="71"/>
      <c r="FO14" s="71"/>
      <c r="FP14" s="71"/>
      <c r="FQ14" s="71"/>
      <c r="FR14" s="71"/>
      <c r="FS14" s="147"/>
      <c r="FW14" s="71"/>
      <c r="FX14" s="71"/>
      <c r="FY14" s="71"/>
      <c r="FZ14" s="71"/>
      <c r="GA14" s="71"/>
      <c r="GB14" s="71"/>
      <c r="GC14" s="71"/>
      <c r="GD14" s="71"/>
      <c r="GE14" s="71"/>
      <c r="GF14" s="71"/>
      <c r="GG14" s="71"/>
      <c r="GH14" s="71"/>
      <c r="GI14" s="71"/>
      <c r="GJ14" s="71"/>
      <c r="GK14" s="71"/>
      <c r="GL14" s="71"/>
      <c r="GM14" s="71"/>
      <c r="GN14" s="71"/>
      <c r="GO14" s="71"/>
      <c r="GP14" s="71"/>
      <c r="GQ14" s="71"/>
      <c r="GR14" s="71"/>
      <c r="GS14" s="71"/>
      <c r="GT14" s="71"/>
      <c r="GU14" s="71"/>
      <c r="GV14" s="71"/>
      <c r="GW14" s="71"/>
      <c r="GX14" s="71"/>
      <c r="GY14" s="71"/>
      <c r="GZ14" s="71"/>
      <c r="HA14" s="71"/>
      <c r="HB14" s="71"/>
      <c r="HC14" s="71"/>
      <c r="HD14" s="71"/>
      <c r="HF14" s="173" t="s">
        <v>763</v>
      </c>
      <c r="HG14" s="72" t="s">
        <v>764</v>
      </c>
      <c r="HH14" s="72" t="s">
        <v>734</v>
      </c>
      <c r="HI14" s="72" t="s">
        <v>765</v>
      </c>
      <c r="HM14" s="83">
        <v>1089</v>
      </c>
      <c r="KS14" s="72" t="s">
        <v>115</v>
      </c>
      <c r="KT14" s="74">
        <v>0</v>
      </c>
      <c r="KV14" s="72" t="s">
        <v>77</v>
      </c>
      <c r="KX14" s="75">
        <v>0</v>
      </c>
      <c r="KY14" s="76">
        <v>0</v>
      </c>
      <c r="LD14" s="77">
        <v>1</v>
      </c>
      <c r="LF14" s="72" t="s">
        <v>766</v>
      </c>
      <c r="LH14" s="72" t="s">
        <v>767</v>
      </c>
      <c r="LI14" s="72" t="s">
        <v>745</v>
      </c>
      <c r="LS14" s="72" t="s">
        <v>768</v>
      </c>
      <c r="LT14" s="72" t="s">
        <v>768</v>
      </c>
    </row>
    <row r="15" spans="1:350" ht="15.95" customHeight="1" x14ac:dyDescent="0.25">
      <c r="B15" s="162"/>
      <c r="C15" s="162"/>
      <c r="D15" s="162"/>
      <c r="F15" s="71" t="str">
        <f>mehrsprachigkeitBegriffsrückgabe(gewählteSpracheZurückgeben(), "Product (foreign language)")</f>
        <v>Produkt (Fremdsprache)</v>
      </c>
      <c r="H15" s="72" t="s">
        <v>760</v>
      </c>
      <c r="I15" s="72" t="s">
        <v>94</v>
      </c>
      <c r="J15" s="72" t="s">
        <v>761</v>
      </c>
      <c r="K15" s="72" t="s">
        <v>762</v>
      </c>
      <c r="BA15" s="147"/>
      <c r="BF15" s="147"/>
      <c r="BG15" s="83"/>
      <c r="BH15" s="73"/>
      <c r="BI15" s="147"/>
      <c r="BJ15" s="77"/>
      <c r="BK15" s="73"/>
      <c r="BL15" s="73"/>
      <c r="BM15" s="77"/>
      <c r="BN15" s="73"/>
      <c r="BO15" s="73"/>
      <c r="BP15" s="147"/>
      <c r="BQ15" s="83"/>
      <c r="BR15" s="73"/>
      <c r="BS15" s="77"/>
      <c r="BT15" s="147"/>
      <c r="BU15" s="77"/>
      <c r="BV15" s="77"/>
      <c r="BW15" s="83"/>
      <c r="BX15" s="73"/>
      <c r="BY15" s="77"/>
      <c r="BZ15" s="73"/>
      <c r="CA15" s="73"/>
      <c r="CB15" s="77"/>
      <c r="CC15" s="73"/>
      <c r="CD15" s="73"/>
      <c r="CE15" s="83"/>
      <c r="CF15" s="73"/>
      <c r="CG15" s="77"/>
      <c r="CH15" s="147"/>
      <c r="CI15" s="77"/>
      <c r="CJ15" s="77"/>
      <c r="CK15" s="83"/>
      <c r="CL15" s="73"/>
      <c r="CM15" s="77"/>
      <c r="CN15" s="73"/>
      <c r="CO15" s="73"/>
      <c r="CP15" s="77"/>
      <c r="CQ15" s="73"/>
      <c r="CR15" s="73"/>
      <c r="CS15" s="83"/>
      <c r="CT15" s="73"/>
      <c r="CU15" s="77"/>
      <c r="CV15" s="147"/>
      <c r="CW15" s="77"/>
      <c r="CX15" s="77"/>
      <c r="CY15" s="83"/>
      <c r="CZ15" s="73"/>
      <c r="DA15" s="77"/>
      <c r="DB15" s="73"/>
      <c r="DC15" s="73"/>
      <c r="DD15" s="77"/>
      <c r="DE15" s="73"/>
      <c r="DF15" s="73"/>
      <c r="DG15" s="83"/>
      <c r="DH15" s="73"/>
      <c r="DI15" s="77"/>
      <c r="DJ15" s="147"/>
      <c r="DK15" s="77"/>
      <c r="DL15" s="77"/>
      <c r="DM15" s="83"/>
      <c r="DN15" s="73"/>
      <c r="DO15" s="77"/>
      <c r="DP15" s="73"/>
      <c r="DQ15" s="73"/>
      <c r="DR15" s="77"/>
      <c r="DS15" s="73"/>
      <c r="DT15" s="73"/>
      <c r="DU15" s="83"/>
      <c r="DV15" s="73"/>
      <c r="DW15" s="77"/>
      <c r="DX15" s="147"/>
      <c r="DY15" s="77"/>
      <c r="DZ15" s="77"/>
      <c r="EA15" s="83"/>
      <c r="EB15" s="73"/>
      <c r="EC15" s="77"/>
      <c r="ED15" s="73"/>
      <c r="EE15" s="73"/>
      <c r="EF15" s="77"/>
      <c r="EG15" s="73"/>
      <c r="EH15" s="73"/>
      <c r="EI15" s="83"/>
      <c r="EJ15" s="73"/>
      <c r="EK15" s="77"/>
      <c r="EL15" s="147"/>
      <c r="EN15" s="74"/>
      <c r="EO15" s="73"/>
      <c r="ER15" s="75"/>
      <c r="ES15" s="76"/>
      <c r="ET15" s="77"/>
      <c r="EU15" s="77"/>
      <c r="EV15" s="78"/>
      <c r="FA15" s="172"/>
      <c r="FB15" s="163"/>
      <c r="FC15" s="172"/>
      <c r="FH15" s="147"/>
      <c r="FL15" s="71"/>
      <c r="FM15" s="71"/>
      <c r="FN15" s="71"/>
      <c r="FO15" s="71"/>
      <c r="FP15" s="71"/>
      <c r="FQ15" s="71"/>
      <c r="FR15" s="71"/>
      <c r="FS15" s="147"/>
      <c r="FW15" s="71"/>
      <c r="FX15" s="71"/>
      <c r="FY15" s="71"/>
      <c r="FZ15" s="71"/>
      <c r="GA15" s="71"/>
      <c r="GB15" s="71"/>
      <c r="GC15" s="71"/>
      <c r="GD15" s="71"/>
      <c r="GE15" s="71"/>
      <c r="GF15" s="71"/>
      <c r="GG15" s="71"/>
      <c r="GH15" s="71"/>
      <c r="GI15" s="71"/>
      <c r="GJ15" s="71"/>
      <c r="GK15" s="71"/>
      <c r="GL15" s="71"/>
      <c r="GM15" s="71"/>
      <c r="GN15" s="71"/>
      <c r="GO15" s="71"/>
      <c r="GP15" s="71"/>
      <c r="GQ15" s="71"/>
      <c r="GR15" s="71"/>
      <c r="GS15" s="71"/>
      <c r="GT15" s="71"/>
      <c r="GU15" s="71"/>
      <c r="GV15" s="71"/>
      <c r="GW15" s="71"/>
      <c r="GX15" s="71"/>
      <c r="GY15" s="71"/>
      <c r="GZ15" s="71"/>
      <c r="HA15" s="71"/>
      <c r="HB15" s="71"/>
      <c r="HC15" s="71"/>
      <c r="HD15" s="71"/>
      <c r="HF15" s="72" t="s">
        <v>763</v>
      </c>
      <c r="HG15" s="72" t="s">
        <v>764</v>
      </c>
      <c r="KV15" s="72" t="s">
        <v>743</v>
      </c>
    </row>
    <row r="16" spans="1:350" ht="15.95" customHeight="1" x14ac:dyDescent="0.25">
      <c r="B16" s="162"/>
      <c r="C16" s="162"/>
      <c r="D16" s="162">
        <v>1</v>
      </c>
      <c r="F16" s="71" t="str">
        <f>mehrsprachigkeitBegriffsrückgabe(gewählteSpracheZurückgeben(), "Product")</f>
        <v>Produkt</v>
      </c>
      <c r="G16" s="72" t="s">
        <v>769</v>
      </c>
      <c r="H16" s="72" t="s">
        <v>113</v>
      </c>
      <c r="I16" s="72" t="s">
        <v>86</v>
      </c>
      <c r="J16" s="72" t="s">
        <v>770</v>
      </c>
      <c r="K16" s="72" t="s">
        <v>771</v>
      </c>
      <c r="BA16" s="147"/>
      <c r="BB16" s="173"/>
      <c r="BF16" s="147"/>
      <c r="BG16" s="83"/>
      <c r="BH16" s="73"/>
      <c r="BI16" s="147"/>
      <c r="BJ16" s="77"/>
      <c r="BK16" s="73"/>
      <c r="BL16" s="73"/>
      <c r="BM16" s="77"/>
      <c r="BN16" s="73"/>
      <c r="BO16" s="73"/>
      <c r="BP16" s="147"/>
      <c r="BQ16" s="83"/>
      <c r="BR16" s="73"/>
      <c r="BS16" s="77"/>
      <c r="BT16" s="147"/>
      <c r="BU16" s="77"/>
      <c r="BV16" s="77"/>
      <c r="BW16" s="83"/>
      <c r="BX16" s="73"/>
      <c r="BY16" s="77"/>
      <c r="BZ16" s="73"/>
      <c r="CA16" s="73"/>
      <c r="CB16" s="77"/>
      <c r="CC16" s="73"/>
      <c r="CD16" s="73"/>
      <c r="CE16" s="83"/>
      <c r="CF16" s="73"/>
      <c r="CG16" s="77"/>
      <c r="CH16" s="147"/>
      <c r="CI16" s="77"/>
      <c r="CJ16" s="77"/>
      <c r="CK16" s="83"/>
      <c r="CL16" s="73"/>
      <c r="CM16" s="77"/>
      <c r="CN16" s="73"/>
      <c r="CO16" s="73"/>
      <c r="CP16" s="77"/>
      <c r="CQ16" s="73"/>
      <c r="CR16" s="73"/>
      <c r="CS16" s="83"/>
      <c r="CT16" s="73"/>
      <c r="CU16" s="77"/>
      <c r="CV16" s="147"/>
      <c r="CW16" s="77"/>
      <c r="CX16" s="77"/>
      <c r="CY16" s="83"/>
      <c r="CZ16" s="73"/>
      <c r="DA16" s="77"/>
      <c r="DB16" s="73"/>
      <c r="DC16" s="73"/>
      <c r="DD16" s="77"/>
      <c r="DE16" s="73"/>
      <c r="DF16" s="73"/>
      <c r="DG16" s="83"/>
      <c r="DH16" s="73"/>
      <c r="DI16" s="77"/>
      <c r="DJ16" s="147"/>
      <c r="DK16" s="77"/>
      <c r="DL16" s="77"/>
      <c r="DM16" s="83"/>
      <c r="DN16" s="73"/>
      <c r="DO16" s="77"/>
      <c r="DP16" s="73"/>
      <c r="DQ16" s="73"/>
      <c r="DR16" s="77"/>
      <c r="DS16" s="73"/>
      <c r="DT16" s="73"/>
      <c r="DU16" s="83"/>
      <c r="DV16" s="73"/>
      <c r="DW16" s="77"/>
      <c r="DX16" s="147"/>
      <c r="DY16" s="77"/>
      <c r="DZ16" s="77"/>
      <c r="EA16" s="83"/>
      <c r="EB16" s="73"/>
      <c r="EC16" s="77"/>
      <c r="ED16" s="73"/>
      <c r="EE16" s="73"/>
      <c r="EF16" s="77"/>
      <c r="EG16" s="73"/>
      <c r="EH16" s="73"/>
      <c r="EI16" s="83"/>
      <c r="EJ16" s="73"/>
      <c r="EK16" s="77"/>
      <c r="EL16" s="147"/>
      <c r="EN16" s="74"/>
      <c r="EO16" s="73"/>
      <c r="ER16" s="75"/>
      <c r="ES16" s="76"/>
      <c r="ET16" s="77"/>
      <c r="EU16" s="77"/>
      <c r="EV16" s="78"/>
      <c r="FA16" s="172"/>
      <c r="FB16" s="163"/>
      <c r="FC16" s="172"/>
      <c r="FH16" s="147"/>
      <c r="FL16" s="71"/>
      <c r="FM16" s="71"/>
      <c r="FN16" s="71"/>
      <c r="FO16" s="71"/>
      <c r="FP16" s="71"/>
      <c r="FQ16" s="71"/>
      <c r="FR16" s="71"/>
      <c r="FS16" s="147"/>
      <c r="FW16" s="71"/>
      <c r="FX16" s="71"/>
      <c r="FY16" s="71"/>
      <c r="FZ16" s="71"/>
      <c r="GA16" s="71"/>
      <c r="GB16" s="71"/>
      <c r="GC16" s="71"/>
      <c r="GD16" s="71"/>
      <c r="GE16" s="71"/>
      <c r="GF16" s="71"/>
      <c r="GG16" s="71"/>
      <c r="GH16" s="71"/>
      <c r="GI16" s="71"/>
      <c r="GJ16" s="71"/>
      <c r="GK16" s="71"/>
      <c r="GL16" s="71"/>
      <c r="GM16" s="71"/>
      <c r="GN16" s="71"/>
      <c r="GO16" s="71"/>
      <c r="GP16" s="71"/>
      <c r="GQ16" s="71"/>
      <c r="GR16" s="71"/>
      <c r="GS16" s="71"/>
      <c r="GT16" s="71"/>
      <c r="GU16" s="71"/>
      <c r="GV16" s="71"/>
      <c r="GW16" s="71"/>
      <c r="GX16" s="71"/>
      <c r="GY16" s="71"/>
      <c r="GZ16" s="71"/>
      <c r="HA16" s="71"/>
      <c r="HB16" s="71"/>
      <c r="HC16" s="71"/>
      <c r="HD16" s="71"/>
      <c r="HF16" s="173" t="s">
        <v>772</v>
      </c>
      <c r="HG16" s="72" t="s">
        <v>773</v>
      </c>
      <c r="HH16" s="72" t="s">
        <v>734</v>
      </c>
      <c r="HI16" s="72" t="s">
        <v>752</v>
      </c>
      <c r="HM16" s="83">
        <v>119</v>
      </c>
      <c r="KS16" s="72" t="s">
        <v>115</v>
      </c>
      <c r="KT16" s="74">
        <v>0</v>
      </c>
      <c r="KV16" s="72" t="s">
        <v>77</v>
      </c>
      <c r="KX16" s="75">
        <v>0</v>
      </c>
      <c r="KY16" s="76">
        <v>0</v>
      </c>
      <c r="LC16" s="77">
        <v>1</v>
      </c>
      <c r="LF16" s="72" t="s">
        <v>774</v>
      </c>
      <c r="LG16" s="72" t="s">
        <v>775</v>
      </c>
      <c r="LH16" s="72" t="s">
        <v>767</v>
      </c>
      <c r="LI16" s="72" t="s">
        <v>745</v>
      </c>
      <c r="LS16" s="72" t="s">
        <v>757</v>
      </c>
      <c r="LT16" s="72" t="s">
        <v>751</v>
      </c>
    </row>
    <row r="17" spans="1:332" ht="15.95" customHeight="1" x14ac:dyDescent="0.25">
      <c r="B17" s="162"/>
      <c r="C17" s="162"/>
      <c r="D17" s="162"/>
      <c r="F17" s="71" t="str">
        <f>mehrsprachigkeitBegriffsrückgabe(gewählteSpracheZurückgeben(), "Product (foreign language)")</f>
        <v>Produkt (Fremdsprache)</v>
      </c>
      <c r="H17" s="72" t="s">
        <v>769</v>
      </c>
      <c r="I17" s="72" t="s">
        <v>94</v>
      </c>
      <c r="J17" s="72" t="s">
        <v>776</v>
      </c>
      <c r="K17" s="72" t="s">
        <v>777</v>
      </c>
      <c r="BA17" s="147"/>
      <c r="BB17" s="173"/>
      <c r="BF17" s="147"/>
      <c r="BG17" s="83"/>
      <c r="BH17" s="73"/>
      <c r="BI17" s="147"/>
      <c r="BJ17" s="77"/>
      <c r="BK17" s="73"/>
      <c r="BL17" s="73"/>
      <c r="BM17" s="77"/>
      <c r="BN17" s="73"/>
      <c r="BO17" s="73"/>
      <c r="BP17" s="147"/>
      <c r="BQ17" s="83"/>
      <c r="BR17" s="73"/>
      <c r="BS17" s="77"/>
      <c r="BT17" s="147"/>
      <c r="BU17" s="77"/>
      <c r="BV17" s="77"/>
      <c r="BW17" s="83"/>
      <c r="BX17" s="73"/>
      <c r="BY17" s="77"/>
      <c r="BZ17" s="73"/>
      <c r="CA17" s="73"/>
      <c r="CB17" s="77"/>
      <c r="CC17" s="73"/>
      <c r="CD17" s="73"/>
      <c r="CE17" s="83"/>
      <c r="CF17" s="73"/>
      <c r="CG17" s="77"/>
      <c r="CH17" s="147"/>
      <c r="CI17" s="77"/>
      <c r="CJ17" s="77"/>
      <c r="CK17" s="83"/>
      <c r="CL17" s="73"/>
      <c r="CM17" s="77"/>
      <c r="CN17" s="73"/>
      <c r="CO17" s="73"/>
      <c r="CP17" s="77"/>
      <c r="CQ17" s="73"/>
      <c r="CR17" s="73"/>
      <c r="CS17" s="83"/>
      <c r="CT17" s="73"/>
      <c r="CU17" s="77"/>
      <c r="CV17" s="147"/>
      <c r="CW17" s="77"/>
      <c r="CX17" s="77"/>
      <c r="CY17" s="83"/>
      <c r="CZ17" s="73"/>
      <c r="DA17" s="77"/>
      <c r="DB17" s="73"/>
      <c r="DC17" s="73"/>
      <c r="DD17" s="77"/>
      <c r="DE17" s="73"/>
      <c r="DF17" s="73"/>
      <c r="DG17" s="83"/>
      <c r="DH17" s="73"/>
      <c r="DI17" s="77"/>
      <c r="DJ17" s="147"/>
      <c r="DK17" s="77"/>
      <c r="DL17" s="77"/>
      <c r="DM17" s="83"/>
      <c r="DN17" s="73"/>
      <c r="DO17" s="77"/>
      <c r="DP17" s="73"/>
      <c r="DQ17" s="73"/>
      <c r="DR17" s="77"/>
      <c r="DS17" s="73"/>
      <c r="DT17" s="73"/>
      <c r="DU17" s="83"/>
      <c r="DV17" s="73"/>
      <c r="DW17" s="77"/>
      <c r="DX17" s="147"/>
      <c r="DY17" s="77"/>
      <c r="DZ17" s="77"/>
      <c r="EA17" s="83"/>
      <c r="EB17" s="73"/>
      <c r="EC17" s="77"/>
      <c r="ED17" s="73"/>
      <c r="EE17" s="73"/>
      <c r="EF17" s="77"/>
      <c r="EG17" s="73"/>
      <c r="EH17" s="73"/>
      <c r="EI17" s="83"/>
      <c r="EJ17" s="73"/>
      <c r="EK17" s="77"/>
      <c r="EL17" s="147"/>
      <c r="EN17" s="74"/>
      <c r="EO17" s="73"/>
      <c r="ER17" s="75"/>
      <c r="ES17" s="76"/>
      <c r="ET17" s="77"/>
      <c r="EU17" s="77"/>
      <c r="EV17" s="78"/>
      <c r="FA17" s="172"/>
      <c r="FB17" s="163"/>
      <c r="FC17" s="172"/>
      <c r="FH17" s="147"/>
      <c r="FL17" s="71"/>
      <c r="FM17" s="71"/>
      <c r="FN17" s="71"/>
      <c r="FO17" s="71"/>
      <c r="FP17" s="71"/>
      <c r="FQ17" s="71"/>
      <c r="FR17" s="71"/>
      <c r="FS17" s="147"/>
      <c r="FW17" s="71"/>
      <c r="FX17" s="71"/>
      <c r="FY17" s="71"/>
      <c r="FZ17" s="71"/>
      <c r="GA17" s="71"/>
      <c r="GB17" s="71"/>
      <c r="GC17" s="71"/>
      <c r="GD17" s="71"/>
      <c r="GE17" s="71"/>
      <c r="GF17" s="71"/>
      <c r="GG17" s="71"/>
      <c r="GH17" s="71"/>
      <c r="GI17" s="71"/>
      <c r="GJ17" s="71"/>
      <c r="GK17" s="71"/>
      <c r="GL17" s="71"/>
      <c r="GM17" s="71"/>
      <c r="GN17" s="71"/>
      <c r="GO17" s="71"/>
      <c r="GP17" s="71"/>
      <c r="GQ17" s="71"/>
      <c r="GR17" s="71"/>
      <c r="GS17" s="71"/>
      <c r="GT17" s="71"/>
      <c r="GU17" s="71"/>
      <c r="GV17" s="71"/>
      <c r="GW17" s="71"/>
      <c r="GX17" s="71"/>
      <c r="GY17" s="71"/>
      <c r="GZ17" s="71"/>
      <c r="HA17" s="71"/>
      <c r="HB17" s="71"/>
      <c r="HC17" s="71"/>
      <c r="HD17" s="71"/>
      <c r="HF17" s="173" t="s">
        <v>772</v>
      </c>
      <c r="HG17" s="72" t="s">
        <v>773</v>
      </c>
      <c r="KV17" s="72" t="s">
        <v>743</v>
      </c>
    </row>
    <row r="18" spans="1:332" ht="15.95" customHeight="1" x14ac:dyDescent="0.25">
      <c r="A18" s="71">
        <v>0</v>
      </c>
      <c r="B18" s="162"/>
      <c r="C18" s="162"/>
      <c r="D18" s="162">
        <v>1</v>
      </c>
      <c r="F18" s="71" t="str">
        <f>mehrsprachigkeitBegriffsrückgabe(gewählteSpracheZurückgeben(), "Variant")</f>
        <v>Variante</v>
      </c>
      <c r="G18" s="72" t="s">
        <v>778</v>
      </c>
      <c r="H18" s="72" t="s">
        <v>769</v>
      </c>
      <c r="I18" s="72" t="s">
        <v>86</v>
      </c>
      <c r="J18" s="72" t="s">
        <v>779</v>
      </c>
      <c r="K18" s="72" t="s">
        <v>780</v>
      </c>
      <c r="M18" s="150" t="s">
        <v>523</v>
      </c>
      <c r="N18" s="72" t="s">
        <v>707</v>
      </c>
      <c r="O18" s="72" t="s">
        <v>532</v>
      </c>
      <c r="P18" s="72" t="s">
        <v>726</v>
      </c>
      <c r="BA18" s="147"/>
      <c r="BB18" s="173"/>
      <c r="BF18" s="147"/>
      <c r="BG18" s="83"/>
      <c r="BH18" s="73"/>
      <c r="BI18" s="147"/>
      <c r="BJ18" s="77"/>
      <c r="BK18" s="73"/>
      <c r="BL18" s="73"/>
      <c r="BM18" s="77"/>
      <c r="BN18" s="73"/>
      <c r="BO18" s="73"/>
      <c r="BP18" s="147"/>
      <c r="BQ18" s="83"/>
      <c r="BR18" s="73"/>
      <c r="BS18" s="77"/>
      <c r="BT18" s="147"/>
      <c r="BU18" s="77"/>
      <c r="BV18" s="77"/>
      <c r="BW18" s="83"/>
      <c r="BX18" s="73"/>
      <c r="BY18" s="77"/>
      <c r="BZ18" s="73"/>
      <c r="CA18" s="73"/>
      <c r="CB18" s="77"/>
      <c r="CC18" s="73"/>
      <c r="CD18" s="73"/>
      <c r="CE18" s="83"/>
      <c r="CF18" s="73"/>
      <c r="CG18" s="77"/>
      <c r="CH18" s="147"/>
      <c r="CI18" s="77"/>
      <c r="CJ18" s="77"/>
      <c r="CK18" s="83"/>
      <c r="CL18" s="73"/>
      <c r="CM18" s="77"/>
      <c r="CN18" s="73"/>
      <c r="CO18" s="73"/>
      <c r="CP18" s="77"/>
      <c r="CQ18" s="73"/>
      <c r="CR18" s="73"/>
      <c r="CS18" s="83"/>
      <c r="CT18" s="73"/>
      <c r="CU18" s="77"/>
      <c r="CV18" s="147"/>
      <c r="CW18" s="77"/>
      <c r="CX18" s="77"/>
      <c r="CY18" s="83"/>
      <c r="CZ18" s="73"/>
      <c r="DA18" s="77"/>
      <c r="DB18" s="73"/>
      <c r="DC18" s="73"/>
      <c r="DD18" s="77"/>
      <c r="DE18" s="73"/>
      <c r="DF18" s="73"/>
      <c r="DG18" s="83"/>
      <c r="DH18" s="73"/>
      <c r="DI18" s="77"/>
      <c r="DJ18" s="147"/>
      <c r="DK18" s="77"/>
      <c r="DL18" s="77"/>
      <c r="DM18" s="83"/>
      <c r="DN18" s="73"/>
      <c r="DO18" s="77"/>
      <c r="DP18" s="73"/>
      <c r="DQ18" s="73"/>
      <c r="DR18" s="77"/>
      <c r="DS18" s="73"/>
      <c r="DT18" s="73"/>
      <c r="DU18" s="83"/>
      <c r="DV18" s="73"/>
      <c r="DW18" s="77"/>
      <c r="DX18" s="147"/>
      <c r="DY18" s="77"/>
      <c r="DZ18" s="77"/>
      <c r="EA18" s="83"/>
      <c r="EB18" s="73"/>
      <c r="EC18" s="77"/>
      <c r="ED18" s="73"/>
      <c r="EE18" s="73"/>
      <c r="EF18" s="77"/>
      <c r="EG18" s="73"/>
      <c r="EH18" s="73"/>
      <c r="EI18" s="83"/>
      <c r="EJ18" s="73"/>
      <c r="EK18" s="77"/>
      <c r="EL18" s="147"/>
      <c r="EN18" s="74"/>
      <c r="EO18" s="73"/>
      <c r="ER18" s="75"/>
      <c r="ES18" s="76"/>
      <c r="ET18" s="77"/>
      <c r="EU18" s="77"/>
      <c r="EV18" s="78"/>
      <c r="FA18" s="172"/>
      <c r="FB18" s="163"/>
      <c r="FC18" s="172"/>
      <c r="FH18" s="147"/>
      <c r="FL18" s="71"/>
      <c r="FM18" s="71"/>
      <c r="FN18" s="71"/>
      <c r="FO18" s="71"/>
      <c r="FP18" s="71"/>
      <c r="FQ18" s="71"/>
      <c r="FR18" s="71"/>
      <c r="FS18" s="147"/>
      <c r="FW18" s="71"/>
      <c r="FX18" s="71"/>
      <c r="FY18" s="71"/>
      <c r="FZ18" s="71"/>
      <c r="GA18" s="71"/>
      <c r="GB18" s="71"/>
      <c r="GC18" s="71"/>
      <c r="GD18" s="71"/>
      <c r="GE18" s="71"/>
      <c r="GF18" s="71"/>
      <c r="GG18" s="71"/>
      <c r="GH18" s="71"/>
      <c r="GI18" s="71"/>
      <c r="GJ18" s="71"/>
      <c r="GK18" s="71"/>
      <c r="GL18" s="71"/>
      <c r="GM18" s="71"/>
      <c r="GN18" s="71"/>
      <c r="GO18" s="71"/>
      <c r="GP18" s="71"/>
      <c r="GQ18" s="71"/>
      <c r="GR18" s="71"/>
      <c r="GS18" s="71"/>
      <c r="GT18" s="71"/>
      <c r="GU18" s="71"/>
      <c r="GV18" s="71"/>
      <c r="GW18" s="71"/>
      <c r="GX18" s="71"/>
      <c r="GY18" s="71"/>
      <c r="GZ18" s="71"/>
      <c r="HA18" s="71"/>
      <c r="HB18" s="71"/>
      <c r="HC18" s="71"/>
      <c r="HD18" s="71"/>
      <c r="HF18" s="173" t="s">
        <v>781</v>
      </c>
      <c r="HM18" s="83">
        <v>579</v>
      </c>
      <c r="HN18" s="73" t="str">
        <f>mehrsprachigkeitBegriffsrückgabe(gewählteSpracheZurückgeben(), "Independent price")</f>
        <v>Eigenständiger Preis</v>
      </c>
      <c r="KT18" s="74">
        <v>0</v>
      </c>
      <c r="KU18" s="73" t="str">
        <f>mehrsprachigkeitBegriffsrückgabe(gewählteSpracheZurückgeben(), "Independent weight")</f>
        <v>Eigenständiges Gewicht</v>
      </c>
      <c r="KV18" s="72" t="s">
        <v>77</v>
      </c>
      <c r="KX18" s="75">
        <v>0</v>
      </c>
      <c r="LF18" s="72" t="s">
        <v>782</v>
      </c>
      <c r="LG18" s="72" t="s">
        <v>113</v>
      </c>
      <c r="LH18" s="72" t="s">
        <v>533</v>
      </c>
      <c r="LI18" s="72" t="s">
        <v>745</v>
      </c>
    </row>
    <row r="19" spans="1:332" ht="15.95" customHeight="1" x14ac:dyDescent="0.25">
      <c r="B19" s="162"/>
      <c r="C19" s="162"/>
      <c r="D19" s="162"/>
      <c r="F19" s="71" t="str">
        <f>mehrsprachigkeitBegriffsrückgabe(gewählteSpracheZurückgeben(), "Variant (foreign language)")</f>
        <v>Variante (Fremdsprache)</v>
      </c>
      <c r="H19" s="72" t="s">
        <v>778</v>
      </c>
      <c r="I19" s="72" t="s">
        <v>94</v>
      </c>
      <c r="BA19" s="147"/>
      <c r="BB19" s="173"/>
      <c r="BF19" s="147"/>
      <c r="BG19" s="83"/>
      <c r="BH19" s="73"/>
      <c r="BI19" s="147"/>
      <c r="BJ19" s="77"/>
      <c r="BK19" s="73"/>
      <c r="BL19" s="73"/>
      <c r="BM19" s="77"/>
      <c r="BN19" s="73"/>
      <c r="BO19" s="73"/>
      <c r="BP19" s="147"/>
      <c r="BQ19" s="83"/>
      <c r="BR19" s="73"/>
      <c r="BS19" s="77"/>
      <c r="BT19" s="147"/>
      <c r="BU19" s="77"/>
      <c r="BV19" s="77"/>
      <c r="BW19" s="83"/>
      <c r="BX19" s="73"/>
      <c r="BY19" s="77"/>
      <c r="BZ19" s="73"/>
      <c r="CA19" s="73"/>
      <c r="CB19" s="77"/>
      <c r="CC19" s="73"/>
      <c r="CD19" s="73"/>
      <c r="CE19" s="83"/>
      <c r="CF19" s="73"/>
      <c r="CG19" s="77"/>
      <c r="CH19" s="147"/>
      <c r="CI19" s="77"/>
      <c r="CJ19" s="77"/>
      <c r="CK19" s="83"/>
      <c r="CL19" s="73"/>
      <c r="CM19" s="77"/>
      <c r="CN19" s="73"/>
      <c r="CO19" s="73"/>
      <c r="CP19" s="77"/>
      <c r="CQ19" s="73"/>
      <c r="CR19" s="73"/>
      <c r="CS19" s="83"/>
      <c r="CT19" s="73"/>
      <c r="CU19" s="77"/>
      <c r="CV19" s="147"/>
      <c r="CW19" s="77"/>
      <c r="CX19" s="77"/>
      <c r="CY19" s="83"/>
      <c r="CZ19" s="73"/>
      <c r="DA19" s="77"/>
      <c r="DB19" s="73"/>
      <c r="DC19" s="73"/>
      <c r="DD19" s="77"/>
      <c r="DE19" s="73"/>
      <c r="DF19" s="73"/>
      <c r="DG19" s="83"/>
      <c r="DH19" s="73"/>
      <c r="DI19" s="77"/>
      <c r="DJ19" s="147"/>
      <c r="DK19" s="77"/>
      <c r="DL19" s="77"/>
      <c r="DM19" s="83"/>
      <c r="DN19" s="73"/>
      <c r="DO19" s="77"/>
      <c r="DP19" s="73"/>
      <c r="DQ19" s="73"/>
      <c r="DR19" s="77"/>
      <c r="DS19" s="73"/>
      <c r="DT19" s="73"/>
      <c r="DU19" s="83"/>
      <c r="DV19" s="73"/>
      <c r="DW19" s="77"/>
      <c r="DX19" s="147"/>
      <c r="DY19" s="77"/>
      <c r="DZ19" s="77"/>
      <c r="EA19" s="83"/>
      <c r="EB19" s="73"/>
      <c r="EC19" s="77"/>
      <c r="ED19" s="73"/>
      <c r="EE19" s="73"/>
      <c r="EF19" s="77"/>
      <c r="EG19" s="73"/>
      <c r="EH19" s="73"/>
      <c r="EI19" s="83"/>
      <c r="EJ19" s="73"/>
      <c r="EK19" s="77"/>
      <c r="EL19" s="147"/>
      <c r="EN19" s="74"/>
      <c r="EO19" s="73"/>
      <c r="ER19" s="75"/>
      <c r="ES19" s="76"/>
      <c r="ET19" s="77"/>
      <c r="EU19" s="77"/>
      <c r="EV19" s="78"/>
      <c r="FA19" s="172"/>
      <c r="FB19" s="163"/>
      <c r="FC19" s="172"/>
      <c r="FH19" s="147"/>
      <c r="FL19" s="71"/>
      <c r="FM19" s="71"/>
      <c r="FN19" s="71"/>
      <c r="FO19" s="71"/>
      <c r="FP19" s="71"/>
      <c r="FQ19" s="71"/>
      <c r="FR19" s="71"/>
      <c r="FS19" s="147"/>
      <c r="FW19" s="71"/>
      <c r="FX19" s="71"/>
      <c r="FY19" s="71"/>
      <c r="FZ19" s="71"/>
      <c r="GA19" s="71"/>
      <c r="GB19" s="71"/>
      <c r="GC19" s="71"/>
      <c r="GD19" s="71"/>
      <c r="GE19" s="71"/>
      <c r="GF19" s="71"/>
      <c r="GG19" s="71"/>
      <c r="GH19" s="71"/>
      <c r="GI19" s="71"/>
      <c r="GJ19" s="71"/>
      <c r="GK19" s="71"/>
      <c r="GL19" s="71"/>
      <c r="GM19" s="71"/>
      <c r="GN19" s="71"/>
      <c r="GO19" s="71"/>
      <c r="GP19" s="71"/>
      <c r="GQ19" s="71"/>
      <c r="GR19" s="71"/>
      <c r="GS19" s="71"/>
      <c r="GT19" s="71"/>
      <c r="GU19" s="71"/>
      <c r="GV19" s="71"/>
      <c r="GW19" s="71"/>
      <c r="GX19" s="71"/>
      <c r="GY19" s="71"/>
      <c r="GZ19" s="71"/>
      <c r="HA19" s="71"/>
      <c r="HB19" s="71"/>
      <c r="HC19" s="71"/>
      <c r="HD19" s="71"/>
      <c r="HF19" s="173"/>
    </row>
    <row r="20" spans="1:332" ht="15.95" customHeight="1" x14ac:dyDescent="0.25">
      <c r="A20" s="71">
        <v>128</v>
      </c>
      <c r="B20" s="162"/>
      <c r="C20" s="162"/>
      <c r="D20" s="162">
        <v>1</v>
      </c>
      <c r="F20" s="71" t="str">
        <f>mehrsprachigkeitBegriffsrückgabe(gewählteSpracheZurückgeben(), "Variant")</f>
        <v>Variante</v>
      </c>
      <c r="G20" s="72" t="s">
        <v>783</v>
      </c>
      <c r="H20" s="72" t="s">
        <v>769</v>
      </c>
      <c r="I20" s="72" t="s">
        <v>86</v>
      </c>
      <c r="J20" s="72" t="s">
        <v>784</v>
      </c>
      <c r="K20" s="72" t="s">
        <v>785</v>
      </c>
      <c r="M20" s="150" t="s">
        <v>523</v>
      </c>
      <c r="N20" s="72" t="s">
        <v>527</v>
      </c>
      <c r="O20" s="72" t="s">
        <v>532</v>
      </c>
      <c r="P20" s="72" t="s">
        <v>726</v>
      </c>
      <c r="BA20" s="147"/>
      <c r="BB20" s="173"/>
      <c r="BF20" s="147"/>
      <c r="BG20" s="83"/>
      <c r="BH20" s="73"/>
      <c r="BI20" s="147"/>
      <c r="BJ20" s="77"/>
      <c r="BK20" s="73"/>
      <c r="BL20" s="73"/>
      <c r="BM20" s="77"/>
      <c r="BN20" s="73"/>
      <c r="BO20" s="73"/>
      <c r="BP20" s="147"/>
      <c r="BQ20" s="83"/>
      <c r="BR20" s="73"/>
      <c r="BS20" s="77"/>
      <c r="BT20" s="147"/>
      <c r="BU20" s="77"/>
      <c r="BV20" s="77"/>
      <c r="BW20" s="83"/>
      <c r="BX20" s="73"/>
      <c r="BY20" s="77"/>
      <c r="BZ20" s="73"/>
      <c r="CA20" s="73"/>
      <c r="CB20" s="77"/>
      <c r="CC20" s="73"/>
      <c r="CD20" s="73"/>
      <c r="CE20" s="83"/>
      <c r="CF20" s="73"/>
      <c r="CG20" s="77"/>
      <c r="CH20" s="147"/>
      <c r="CI20" s="77"/>
      <c r="CJ20" s="77"/>
      <c r="CK20" s="83"/>
      <c r="CL20" s="73"/>
      <c r="CM20" s="77"/>
      <c r="CN20" s="73"/>
      <c r="CO20" s="73"/>
      <c r="CP20" s="77"/>
      <c r="CQ20" s="73"/>
      <c r="CR20" s="73"/>
      <c r="CS20" s="83"/>
      <c r="CT20" s="73"/>
      <c r="CU20" s="77"/>
      <c r="CV20" s="147"/>
      <c r="CW20" s="77"/>
      <c r="CX20" s="77"/>
      <c r="CY20" s="83"/>
      <c r="CZ20" s="73"/>
      <c r="DA20" s="77"/>
      <c r="DB20" s="73"/>
      <c r="DC20" s="73"/>
      <c r="DD20" s="77"/>
      <c r="DE20" s="73"/>
      <c r="DF20" s="73"/>
      <c r="DG20" s="83"/>
      <c r="DH20" s="73"/>
      <c r="DI20" s="77"/>
      <c r="DJ20" s="147"/>
      <c r="DK20" s="77"/>
      <c r="DL20" s="77"/>
      <c r="DM20" s="83"/>
      <c r="DN20" s="73"/>
      <c r="DO20" s="77"/>
      <c r="DP20" s="73"/>
      <c r="DQ20" s="73"/>
      <c r="DR20" s="77"/>
      <c r="DS20" s="73"/>
      <c r="DT20" s="73"/>
      <c r="DU20" s="83"/>
      <c r="DV20" s="73"/>
      <c r="DW20" s="77"/>
      <c r="DX20" s="147"/>
      <c r="DY20" s="77"/>
      <c r="DZ20" s="77"/>
      <c r="EA20" s="83"/>
      <c r="EB20" s="73"/>
      <c r="EC20" s="77"/>
      <c r="ED20" s="73"/>
      <c r="EE20" s="73"/>
      <c r="EF20" s="77"/>
      <c r="EG20" s="73"/>
      <c r="EH20" s="73"/>
      <c r="EI20" s="83"/>
      <c r="EJ20" s="73"/>
      <c r="EK20" s="77"/>
      <c r="EL20" s="147"/>
      <c r="EN20" s="74"/>
      <c r="EO20" s="73"/>
      <c r="ER20" s="75"/>
      <c r="ES20" s="76"/>
      <c r="ET20" s="77"/>
      <c r="EU20" s="77"/>
      <c r="EV20" s="78"/>
      <c r="FA20" s="172"/>
      <c r="FB20" s="163"/>
      <c r="FC20" s="172"/>
      <c r="FH20" s="147"/>
      <c r="FL20" s="71"/>
      <c r="FM20" s="71"/>
      <c r="FN20" s="71"/>
      <c r="FO20" s="71"/>
      <c r="FP20" s="71"/>
      <c r="FQ20" s="71"/>
      <c r="FR20" s="71"/>
      <c r="FS20" s="147"/>
      <c r="FW20" s="71"/>
      <c r="FX20" s="71"/>
      <c r="FY20" s="71"/>
      <c r="FZ20" s="71"/>
      <c r="GA20" s="71"/>
      <c r="GB20" s="71"/>
      <c r="GC20" s="71"/>
      <c r="GD20" s="71"/>
      <c r="GE20" s="71"/>
      <c r="GF20" s="71"/>
      <c r="GG20" s="71"/>
      <c r="GH20" s="71"/>
      <c r="GI20" s="71"/>
      <c r="GJ20" s="71"/>
      <c r="GK20" s="71"/>
      <c r="GL20" s="71"/>
      <c r="GM20" s="71"/>
      <c r="GN20" s="71"/>
      <c r="GO20" s="71"/>
      <c r="GP20" s="71"/>
      <c r="GQ20" s="71"/>
      <c r="GR20" s="71"/>
      <c r="GS20" s="71"/>
      <c r="GT20" s="71"/>
      <c r="GU20" s="71"/>
      <c r="GV20" s="71"/>
      <c r="GW20" s="71"/>
      <c r="GX20" s="71"/>
      <c r="GY20" s="71"/>
      <c r="GZ20" s="71"/>
      <c r="HA20" s="71"/>
      <c r="HB20" s="71"/>
      <c r="HC20" s="71"/>
      <c r="HD20" s="71"/>
      <c r="HF20" s="173" t="s">
        <v>781</v>
      </c>
      <c r="HM20" s="83">
        <v>579</v>
      </c>
      <c r="HN20" s="73" t="str">
        <f>mehrsprachigkeitBegriffsrückgabe(gewählteSpracheZurückgeben(), "Independent price")</f>
        <v>Eigenständiger Preis</v>
      </c>
      <c r="KT20" s="74">
        <v>0</v>
      </c>
      <c r="KU20" s="73" t="str">
        <f>mehrsprachigkeitBegriffsrückgabe(gewählteSpracheZurückgeben(), "Independent weight")</f>
        <v>Eigenständiges Gewicht</v>
      </c>
      <c r="KV20" s="72" t="s">
        <v>77</v>
      </c>
      <c r="KX20" s="75">
        <v>0</v>
      </c>
      <c r="LF20" s="72" t="s">
        <v>786</v>
      </c>
      <c r="LG20" s="72" t="s">
        <v>113</v>
      </c>
      <c r="LH20" s="72" t="s">
        <v>787</v>
      </c>
      <c r="LI20" s="72" t="s">
        <v>745</v>
      </c>
    </row>
    <row r="21" spans="1:332" ht="15.95" customHeight="1" x14ac:dyDescent="0.25">
      <c r="B21" s="162"/>
      <c r="C21" s="162"/>
      <c r="D21" s="162"/>
      <c r="F21" s="71" t="str">
        <f>mehrsprachigkeitBegriffsrückgabe(gewählteSpracheZurückgeben(), "Variant (foreign language)")</f>
        <v>Variante (Fremdsprache)</v>
      </c>
      <c r="H21" s="72" t="s">
        <v>783</v>
      </c>
      <c r="I21" s="72" t="s">
        <v>94</v>
      </c>
      <c r="BA21" s="147"/>
      <c r="BB21" s="173"/>
      <c r="BF21" s="147"/>
      <c r="BG21" s="83"/>
      <c r="BH21" s="73"/>
      <c r="BI21" s="147"/>
      <c r="BJ21" s="77"/>
      <c r="BK21" s="73"/>
      <c r="BL21" s="73"/>
      <c r="BM21" s="77"/>
      <c r="BN21" s="73"/>
      <c r="BO21" s="73"/>
      <c r="BP21" s="147"/>
      <c r="BQ21" s="83"/>
      <c r="BR21" s="73"/>
      <c r="BS21" s="77"/>
      <c r="BT21" s="147"/>
      <c r="BU21" s="77"/>
      <c r="BV21" s="77"/>
      <c r="BW21" s="83"/>
      <c r="BX21" s="73"/>
      <c r="BY21" s="77"/>
      <c r="BZ21" s="73"/>
      <c r="CA21" s="73"/>
      <c r="CB21" s="77"/>
      <c r="CC21" s="73"/>
      <c r="CD21" s="73"/>
      <c r="CE21" s="83"/>
      <c r="CF21" s="73"/>
      <c r="CG21" s="77"/>
      <c r="CH21" s="147"/>
      <c r="CI21" s="77"/>
      <c r="CJ21" s="77"/>
      <c r="CK21" s="83"/>
      <c r="CL21" s="73"/>
      <c r="CM21" s="77"/>
      <c r="CN21" s="73"/>
      <c r="CO21" s="73"/>
      <c r="CP21" s="77"/>
      <c r="CQ21" s="73"/>
      <c r="CR21" s="73"/>
      <c r="CS21" s="83"/>
      <c r="CT21" s="73"/>
      <c r="CU21" s="77"/>
      <c r="CV21" s="147"/>
      <c r="CW21" s="77"/>
      <c r="CX21" s="77"/>
      <c r="CY21" s="83"/>
      <c r="CZ21" s="73"/>
      <c r="DA21" s="77"/>
      <c r="DB21" s="73"/>
      <c r="DC21" s="73"/>
      <c r="DD21" s="77"/>
      <c r="DE21" s="73"/>
      <c r="DF21" s="73"/>
      <c r="DG21" s="83"/>
      <c r="DH21" s="73"/>
      <c r="DI21" s="77"/>
      <c r="DJ21" s="147"/>
      <c r="DK21" s="77"/>
      <c r="DL21" s="77"/>
      <c r="DM21" s="83"/>
      <c r="DN21" s="73"/>
      <c r="DO21" s="77"/>
      <c r="DP21" s="73"/>
      <c r="DQ21" s="73"/>
      <c r="DR21" s="77"/>
      <c r="DS21" s="73"/>
      <c r="DT21" s="73"/>
      <c r="DU21" s="83"/>
      <c r="DV21" s="73"/>
      <c r="DW21" s="77"/>
      <c r="DX21" s="147"/>
      <c r="DY21" s="77"/>
      <c r="DZ21" s="77"/>
      <c r="EA21" s="83"/>
      <c r="EB21" s="73"/>
      <c r="EC21" s="77"/>
      <c r="ED21" s="73"/>
      <c r="EE21" s="73"/>
      <c r="EF21" s="77"/>
      <c r="EG21" s="73"/>
      <c r="EH21" s="73"/>
      <c r="EI21" s="83"/>
      <c r="EJ21" s="73"/>
      <c r="EK21" s="77"/>
      <c r="EL21" s="147"/>
      <c r="EN21" s="74"/>
      <c r="EO21" s="73"/>
      <c r="ER21" s="75"/>
      <c r="ES21" s="76"/>
      <c r="ET21" s="77"/>
      <c r="EU21" s="77"/>
      <c r="EV21" s="78"/>
      <c r="FA21" s="172"/>
      <c r="FB21" s="163"/>
      <c r="FC21" s="172"/>
      <c r="FH21" s="147"/>
      <c r="FL21" s="71"/>
      <c r="FM21" s="71"/>
      <c r="FN21" s="71"/>
      <c r="FO21" s="71"/>
      <c r="FP21" s="71"/>
      <c r="FQ21" s="71"/>
      <c r="FR21" s="71"/>
      <c r="FS21" s="147"/>
      <c r="FW21" s="71"/>
      <c r="FX21" s="71"/>
      <c r="FY21" s="71"/>
      <c r="FZ21" s="71"/>
      <c r="GA21" s="71"/>
      <c r="GB21" s="71"/>
      <c r="GC21" s="71"/>
      <c r="GD21" s="71"/>
      <c r="GE21" s="71"/>
      <c r="GF21" s="71"/>
      <c r="GG21" s="71"/>
      <c r="GH21" s="71"/>
      <c r="GI21" s="71"/>
      <c r="GJ21" s="71"/>
      <c r="GK21" s="71"/>
      <c r="GL21" s="71"/>
      <c r="GM21" s="71"/>
      <c r="GN21" s="71"/>
      <c r="GO21" s="71"/>
      <c r="GP21" s="71"/>
      <c r="GQ21" s="71"/>
      <c r="GR21" s="71"/>
      <c r="GS21" s="71"/>
      <c r="GT21" s="71"/>
      <c r="GU21" s="71"/>
      <c r="GV21" s="71"/>
      <c r="GW21" s="71"/>
      <c r="GX21" s="71"/>
      <c r="GY21" s="71"/>
      <c r="GZ21" s="71"/>
      <c r="HA21" s="71"/>
      <c r="HB21" s="71"/>
      <c r="HC21" s="71"/>
      <c r="HD21" s="71"/>
      <c r="HF21" s="173"/>
    </row>
    <row r="22" spans="1:332" ht="15.95" customHeight="1" x14ac:dyDescent="0.25">
      <c r="A22" s="71">
        <v>256</v>
      </c>
      <c r="B22" s="162"/>
      <c r="C22" s="162"/>
      <c r="D22" s="162">
        <v>1</v>
      </c>
      <c r="F22" s="71" t="str">
        <f>mehrsprachigkeitBegriffsrückgabe(gewählteSpracheZurückgeben(), "Variant")</f>
        <v>Variante</v>
      </c>
      <c r="G22" s="72" t="s">
        <v>788</v>
      </c>
      <c r="H22" s="72" t="s">
        <v>769</v>
      </c>
      <c r="I22" s="72" t="s">
        <v>86</v>
      </c>
      <c r="J22" s="72" t="s">
        <v>789</v>
      </c>
      <c r="K22" s="72" t="s">
        <v>790</v>
      </c>
      <c r="M22" s="150" t="s">
        <v>523</v>
      </c>
      <c r="N22" s="72" t="s">
        <v>707</v>
      </c>
      <c r="O22" s="72" t="s">
        <v>532</v>
      </c>
      <c r="P22" s="72" t="s">
        <v>727</v>
      </c>
      <c r="BA22" s="147"/>
      <c r="BB22" s="173"/>
      <c r="BF22" s="147"/>
      <c r="BG22" s="83"/>
      <c r="BH22" s="73"/>
      <c r="BI22" s="147"/>
      <c r="BJ22" s="77"/>
      <c r="BK22" s="73"/>
      <c r="BL22" s="73"/>
      <c r="BM22" s="77"/>
      <c r="BN22" s="73"/>
      <c r="BO22" s="73"/>
      <c r="BP22" s="147"/>
      <c r="BQ22" s="83"/>
      <c r="BR22" s="73"/>
      <c r="BS22" s="77"/>
      <c r="BT22" s="147"/>
      <c r="BU22" s="77"/>
      <c r="BV22" s="77"/>
      <c r="BW22" s="83"/>
      <c r="BX22" s="73"/>
      <c r="BY22" s="77"/>
      <c r="BZ22" s="73"/>
      <c r="CA22" s="73"/>
      <c r="CB22" s="77"/>
      <c r="CC22" s="73"/>
      <c r="CD22" s="73"/>
      <c r="CE22" s="83"/>
      <c r="CF22" s="73"/>
      <c r="CG22" s="77"/>
      <c r="CH22" s="147"/>
      <c r="CI22" s="77"/>
      <c r="CJ22" s="77"/>
      <c r="CK22" s="83"/>
      <c r="CL22" s="73"/>
      <c r="CM22" s="77"/>
      <c r="CN22" s="73"/>
      <c r="CO22" s="73"/>
      <c r="CP22" s="77"/>
      <c r="CQ22" s="73"/>
      <c r="CR22" s="73"/>
      <c r="CS22" s="83"/>
      <c r="CT22" s="73"/>
      <c r="CU22" s="77"/>
      <c r="CV22" s="147"/>
      <c r="CW22" s="77"/>
      <c r="CX22" s="77"/>
      <c r="CY22" s="83"/>
      <c r="CZ22" s="73"/>
      <c r="DA22" s="77"/>
      <c r="DB22" s="73"/>
      <c r="DC22" s="73"/>
      <c r="DD22" s="77"/>
      <c r="DE22" s="73"/>
      <c r="DF22" s="73"/>
      <c r="DG22" s="83"/>
      <c r="DH22" s="73"/>
      <c r="DI22" s="77"/>
      <c r="DJ22" s="147"/>
      <c r="DK22" s="77"/>
      <c r="DL22" s="77"/>
      <c r="DM22" s="83"/>
      <c r="DN22" s="73"/>
      <c r="DO22" s="77"/>
      <c r="DP22" s="73"/>
      <c r="DQ22" s="73"/>
      <c r="DR22" s="77"/>
      <c r="DS22" s="73"/>
      <c r="DT22" s="73"/>
      <c r="DU22" s="83"/>
      <c r="DV22" s="73"/>
      <c r="DW22" s="77"/>
      <c r="DX22" s="147"/>
      <c r="DY22" s="77"/>
      <c r="DZ22" s="77"/>
      <c r="EA22" s="83"/>
      <c r="EB22" s="73"/>
      <c r="EC22" s="77"/>
      <c r="ED22" s="73"/>
      <c r="EE22" s="73"/>
      <c r="EF22" s="77"/>
      <c r="EG22" s="73"/>
      <c r="EH22" s="73"/>
      <c r="EI22" s="83"/>
      <c r="EJ22" s="73"/>
      <c r="EK22" s="77"/>
      <c r="EL22" s="147"/>
      <c r="EN22" s="74"/>
      <c r="EO22" s="73"/>
      <c r="ER22" s="75"/>
      <c r="ES22" s="76"/>
      <c r="ET22" s="77"/>
      <c r="EU22" s="77"/>
      <c r="EV22" s="78"/>
      <c r="FA22" s="172"/>
      <c r="FB22" s="163"/>
      <c r="FC22" s="172"/>
      <c r="FH22" s="147"/>
      <c r="FL22" s="71"/>
      <c r="FM22" s="71"/>
      <c r="FN22" s="71"/>
      <c r="FO22" s="71"/>
      <c r="FP22" s="71"/>
      <c r="FQ22" s="71"/>
      <c r="FR22" s="71"/>
      <c r="FS22" s="147"/>
      <c r="FW22" s="71"/>
      <c r="FX22" s="71"/>
      <c r="FY22" s="71"/>
      <c r="FZ22" s="71"/>
      <c r="GA22" s="71"/>
      <c r="GB22" s="71"/>
      <c r="GC22" s="71"/>
      <c r="GD22" s="71"/>
      <c r="GE22" s="71"/>
      <c r="GF22" s="71"/>
      <c r="GG22" s="71"/>
      <c r="GH22" s="71"/>
      <c r="GI22" s="71"/>
      <c r="GJ22" s="71"/>
      <c r="GK22" s="71"/>
      <c r="GL22" s="71"/>
      <c r="GM22" s="71"/>
      <c r="GN22" s="71"/>
      <c r="GO22" s="71"/>
      <c r="GP22" s="71"/>
      <c r="GQ22" s="71"/>
      <c r="GR22" s="71"/>
      <c r="GS22" s="71"/>
      <c r="GT22" s="71"/>
      <c r="GU22" s="71"/>
      <c r="GV22" s="71"/>
      <c r="GW22" s="71"/>
      <c r="GX22" s="71"/>
      <c r="GY22" s="71"/>
      <c r="GZ22" s="71"/>
      <c r="HA22" s="71"/>
      <c r="HB22" s="71"/>
      <c r="HC22" s="71"/>
      <c r="HD22" s="71"/>
      <c r="HF22" s="173" t="s">
        <v>781</v>
      </c>
      <c r="HM22" s="83">
        <v>579</v>
      </c>
      <c r="HN22" s="73" t="str">
        <f>mehrsprachigkeitBegriffsrückgabe(gewählteSpracheZurückgeben(), "Independent price")</f>
        <v>Eigenständiger Preis</v>
      </c>
      <c r="KT22" s="74">
        <v>0</v>
      </c>
      <c r="KU22" s="73" t="str">
        <f>mehrsprachigkeitBegriffsrückgabe(gewählteSpracheZurückgeben(), "Independent weight")</f>
        <v>Eigenständiges Gewicht</v>
      </c>
      <c r="KV22" s="72" t="s">
        <v>77</v>
      </c>
      <c r="KX22" s="75">
        <v>0</v>
      </c>
      <c r="LF22" s="72" t="s">
        <v>791</v>
      </c>
      <c r="LG22" s="72" t="s">
        <v>113</v>
      </c>
      <c r="LH22" s="72" t="s">
        <v>533</v>
      </c>
      <c r="LI22" s="72" t="s">
        <v>745</v>
      </c>
    </row>
    <row r="23" spans="1:332" ht="15.95" customHeight="1" x14ac:dyDescent="0.25">
      <c r="B23" s="162"/>
      <c r="C23" s="162"/>
      <c r="D23" s="162"/>
      <c r="F23" s="71" t="str">
        <f>mehrsprachigkeitBegriffsrückgabe(gewählteSpracheZurückgeben(), "Variant (foreign language)")</f>
        <v>Variante (Fremdsprache)</v>
      </c>
      <c r="H23" s="72" t="s">
        <v>788</v>
      </c>
      <c r="I23" s="72" t="s">
        <v>94</v>
      </c>
      <c r="BA23" s="147"/>
      <c r="BB23" s="173"/>
      <c r="BF23" s="147"/>
      <c r="BG23" s="83"/>
      <c r="BH23" s="73"/>
      <c r="BI23" s="147"/>
      <c r="BJ23" s="77"/>
      <c r="BK23" s="73"/>
      <c r="BL23" s="73"/>
      <c r="BM23" s="77"/>
      <c r="BN23" s="73"/>
      <c r="BO23" s="73"/>
      <c r="BP23" s="147"/>
      <c r="BQ23" s="83"/>
      <c r="BR23" s="73"/>
      <c r="BS23" s="77"/>
      <c r="BT23" s="147"/>
      <c r="BU23" s="77"/>
      <c r="BV23" s="77"/>
      <c r="BW23" s="83"/>
      <c r="BX23" s="73"/>
      <c r="BY23" s="77"/>
      <c r="BZ23" s="73"/>
      <c r="CA23" s="73"/>
      <c r="CB23" s="77"/>
      <c r="CC23" s="73"/>
      <c r="CD23" s="73"/>
      <c r="CE23" s="83"/>
      <c r="CF23" s="73"/>
      <c r="CG23" s="77"/>
      <c r="CH23" s="147"/>
      <c r="CI23" s="77"/>
      <c r="CJ23" s="77"/>
      <c r="CK23" s="83"/>
      <c r="CL23" s="73"/>
      <c r="CM23" s="77"/>
      <c r="CN23" s="73"/>
      <c r="CO23" s="73"/>
      <c r="CP23" s="77"/>
      <c r="CQ23" s="73"/>
      <c r="CR23" s="73"/>
      <c r="CS23" s="83"/>
      <c r="CT23" s="73"/>
      <c r="CU23" s="77"/>
      <c r="CV23" s="147"/>
      <c r="CW23" s="77"/>
      <c r="CX23" s="77"/>
      <c r="CY23" s="83"/>
      <c r="CZ23" s="73"/>
      <c r="DA23" s="77"/>
      <c r="DB23" s="73"/>
      <c r="DC23" s="73"/>
      <c r="DD23" s="77"/>
      <c r="DE23" s="73"/>
      <c r="DF23" s="73"/>
      <c r="DG23" s="83"/>
      <c r="DH23" s="73"/>
      <c r="DI23" s="77"/>
      <c r="DJ23" s="147"/>
      <c r="DK23" s="77"/>
      <c r="DL23" s="77"/>
      <c r="DM23" s="83"/>
      <c r="DN23" s="73"/>
      <c r="DO23" s="77"/>
      <c r="DP23" s="73"/>
      <c r="DQ23" s="73"/>
      <c r="DR23" s="77"/>
      <c r="DS23" s="73"/>
      <c r="DT23" s="73"/>
      <c r="DU23" s="83"/>
      <c r="DV23" s="73"/>
      <c r="DW23" s="77"/>
      <c r="DX23" s="147"/>
      <c r="DY23" s="77"/>
      <c r="DZ23" s="77"/>
      <c r="EA23" s="83"/>
      <c r="EB23" s="73"/>
      <c r="EC23" s="77"/>
      <c r="ED23" s="73"/>
      <c r="EE23" s="73"/>
      <c r="EF23" s="77"/>
      <c r="EG23" s="73"/>
      <c r="EH23" s="73"/>
      <c r="EI23" s="83"/>
      <c r="EJ23" s="73"/>
      <c r="EK23" s="77"/>
      <c r="EL23" s="147"/>
      <c r="EN23" s="74"/>
      <c r="EO23" s="73"/>
      <c r="ER23" s="75"/>
      <c r="ES23" s="76"/>
      <c r="ET23" s="77"/>
      <c r="EU23" s="77"/>
      <c r="EV23" s="78"/>
      <c r="FA23" s="172"/>
      <c r="FB23" s="163"/>
      <c r="FC23" s="172"/>
      <c r="FH23" s="147"/>
      <c r="FL23" s="71"/>
      <c r="FM23" s="71"/>
      <c r="FN23" s="71"/>
      <c r="FO23" s="71"/>
      <c r="FP23" s="71"/>
      <c r="FQ23" s="71"/>
      <c r="FR23" s="71"/>
      <c r="FS23" s="147"/>
      <c r="FW23" s="71"/>
      <c r="FX23" s="71"/>
      <c r="FY23" s="71"/>
      <c r="FZ23" s="71"/>
      <c r="GA23" s="71"/>
      <c r="GB23" s="71"/>
      <c r="GC23" s="71"/>
      <c r="GD23" s="71"/>
      <c r="GE23" s="71"/>
      <c r="GF23" s="71"/>
      <c r="GG23" s="71"/>
      <c r="GH23" s="71"/>
      <c r="GI23" s="71"/>
      <c r="GJ23" s="71"/>
      <c r="GK23" s="71"/>
      <c r="GL23" s="71"/>
      <c r="GM23" s="71"/>
      <c r="GN23" s="71"/>
      <c r="GO23" s="71"/>
      <c r="GP23" s="71"/>
      <c r="GQ23" s="71"/>
      <c r="GR23" s="71"/>
      <c r="GS23" s="71"/>
      <c r="GT23" s="71"/>
      <c r="GU23" s="71"/>
      <c r="GV23" s="71"/>
      <c r="GW23" s="71"/>
      <c r="GX23" s="71"/>
      <c r="GY23" s="71"/>
      <c r="GZ23" s="71"/>
      <c r="HA23" s="71"/>
      <c r="HB23" s="71"/>
      <c r="HC23" s="71"/>
      <c r="HD23" s="71"/>
      <c r="HF23" s="173"/>
    </row>
    <row r="24" spans="1:332" ht="15.95" customHeight="1" x14ac:dyDescent="0.25">
      <c r="A24" s="71">
        <v>384</v>
      </c>
      <c r="B24" s="162"/>
      <c r="C24" s="162"/>
      <c r="D24" s="162">
        <v>1</v>
      </c>
      <c r="F24" s="71" t="str">
        <f>mehrsprachigkeitBegriffsrückgabe(gewählteSpracheZurückgeben(), "Variant")</f>
        <v>Variante</v>
      </c>
      <c r="G24" s="72" t="s">
        <v>792</v>
      </c>
      <c r="H24" s="72" t="s">
        <v>769</v>
      </c>
      <c r="I24" s="72" t="s">
        <v>86</v>
      </c>
      <c r="J24" s="72" t="s">
        <v>793</v>
      </c>
      <c r="K24" s="72" t="s">
        <v>794</v>
      </c>
      <c r="M24" s="150" t="s">
        <v>523</v>
      </c>
      <c r="N24" s="72" t="s">
        <v>527</v>
      </c>
      <c r="O24" s="72" t="s">
        <v>532</v>
      </c>
      <c r="P24" s="72" t="s">
        <v>727</v>
      </c>
      <c r="BA24" s="147"/>
      <c r="BB24" s="173"/>
      <c r="BF24" s="147"/>
      <c r="BG24" s="83"/>
      <c r="BH24" s="73"/>
      <c r="BI24" s="147"/>
      <c r="BJ24" s="77"/>
      <c r="BK24" s="73"/>
      <c r="BL24" s="73"/>
      <c r="BM24" s="77"/>
      <c r="BN24" s="73"/>
      <c r="BO24" s="73"/>
      <c r="BP24" s="147"/>
      <c r="BQ24" s="83"/>
      <c r="BR24" s="73"/>
      <c r="BS24" s="77"/>
      <c r="BT24" s="147"/>
      <c r="BU24" s="77"/>
      <c r="BV24" s="77"/>
      <c r="BW24" s="83"/>
      <c r="BX24" s="73"/>
      <c r="BY24" s="77"/>
      <c r="BZ24" s="73"/>
      <c r="CA24" s="73"/>
      <c r="CB24" s="77"/>
      <c r="CC24" s="73"/>
      <c r="CD24" s="73"/>
      <c r="CE24" s="83"/>
      <c r="CF24" s="73"/>
      <c r="CG24" s="77"/>
      <c r="CH24" s="147"/>
      <c r="CI24" s="77"/>
      <c r="CJ24" s="77"/>
      <c r="CK24" s="83"/>
      <c r="CL24" s="73"/>
      <c r="CM24" s="77"/>
      <c r="CN24" s="73"/>
      <c r="CO24" s="73"/>
      <c r="CP24" s="77"/>
      <c r="CQ24" s="73"/>
      <c r="CR24" s="73"/>
      <c r="CS24" s="83"/>
      <c r="CT24" s="73"/>
      <c r="CU24" s="77"/>
      <c r="CV24" s="147"/>
      <c r="CW24" s="77"/>
      <c r="CX24" s="77"/>
      <c r="CY24" s="83"/>
      <c r="CZ24" s="73"/>
      <c r="DA24" s="77"/>
      <c r="DB24" s="73"/>
      <c r="DC24" s="73"/>
      <c r="DD24" s="77"/>
      <c r="DE24" s="73"/>
      <c r="DF24" s="73"/>
      <c r="DG24" s="83"/>
      <c r="DH24" s="73"/>
      <c r="DI24" s="77"/>
      <c r="DJ24" s="147"/>
      <c r="DK24" s="77"/>
      <c r="DL24" s="77"/>
      <c r="DM24" s="83"/>
      <c r="DN24" s="73"/>
      <c r="DO24" s="77"/>
      <c r="DP24" s="73"/>
      <c r="DQ24" s="73"/>
      <c r="DR24" s="77"/>
      <c r="DS24" s="73"/>
      <c r="DT24" s="73"/>
      <c r="DU24" s="83"/>
      <c r="DV24" s="73"/>
      <c r="DW24" s="77"/>
      <c r="DX24" s="147"/>
      <c r="DY24" s="77"/>
      <c r="DZ24" s="77"/>
      <c r="EA24" s="83"/>
      <c r="EB24" s="73"/>
      <c r="EC24" s="77"/>
      <c r="ED24" s="73"/>
      <c r="EE24" s="73"/>
      <c r="EF24" s="77"/>
      <c r="EG24" s="73"/>
      <c r="EH24" s="73"/>
      <c r="EI24" s="83"/>
      <c r="EJ24" s="73"/>
      <c r="EK24" s="77"/>
      <c r="EL24" s="147"/>
      <c r="EN24" s="74"/>
      <c r="EO24" s="73"/>
      <c r="ER24" s="75"/>
      <c r="ES24" s="76"/>
      <c r="ET24" s="77"/>
      <c r="EU24" s="77"/>
      <c r="EV24" s="78"/>
      <c r="FA24" s="172"/>
      <c r="FB24" s="163"/>
      <c r="FC24" s="172"/>
      <c r="FH24" s="147"/>
      <c r="FL24" s="71"/>
      <c r="FM24" s="71"/>
      <c r="FN24" s="71"/>
      <c r="FO24" s="71"/>
      <c r="FP24" s="71"/>
      <c r="FQ24" s="71"/>
      <c r="FR24" s="71"/>
      <c r="FS24" s="147"/>
      <c r="FW24" s="71"/>
      <c r="FX24" s="71"/>
      <c r="FY24" s="71"/>
      <c r="FZ24" s="71"/>
      <c r="GA24" s="71"/>
      <c r="GB24" s="71"/>
      <c r="GC24" s="71"/>
      <c r="GD24" s="71"/>
      <c r="GE24" s="71"/>
      <c r="GF24" s="71"/>
      <c r="GG24" s="71"/>
      <c r="GH24" s="71"/>
      <c r="GI24" s="71"/>
      <c r="GJ24" s="71"/>
      <c r="GK24" s="71"/>
      <c r="GL24" s="71"/>
      <c r="GM24" s="71"/>
      <c r="GN24" s="71"/>
      <c r="GO24" s="71"/>
      <c r="GP24" s="71"/>
      <c r="GQ24" s="71"/>
      <c r="GR24" s="71"/>
      <c r="GS24" s="71"/>
      <c r="GT24" s="71"/>
      <c r="GU24" s="71"/>
      <c r="GV24" s="71"/>
      <c r="GW24" s="71"/>
      <c r="GX24" s="71"/>
      <c r="GY24" s="71"/>
      <c r="GZ24" s="71"/>
      <c r="HA24" s="71"/>
      <c r="HB24" s="71"/>
      <c r="HC24" s="71"/>
      <c r="HD24" s="71"/>
      <c r="HF24" s="173" t="s">
        <v>781</v>
      </c>
      <c r="HM24" s="83">
        <v>579</v>
      </c>
      <c r="HN24" s="73" t="str">
        <f>mehrsprachigkeitBegriffsrückgabe(gewählteSpracheZurückgeben(), "Independent price")</f>
        <v>Eigenständiger Preis</v>
      </c>
      <c r="KT24" s="74">
        <v>0</v>
      </c>
      <c r="KU24" s="73" t="str">
        <f>mehrsprachigkeitBegriffsrückgabe(gewählteSpracheZurückgeben(), "Independent weight")</f>
        <v>Eigenständiges Gewicht</v>
      </c>
      <c r="KV24" s="72" t="s">
        <v>77</v>
      </c>
      <c r="KX24" s="75">
        <v>0</v>
      </c>
      <c r="LF24" s="72" t="s">
        <v>795</v>
      </c>
      <c r="LG24" s="72" t="s">
        <v>113</v>
      </c>
      <c r="LH24" s="72" t="s">
        <v>787</v>
      </c>
      <c r="LI24" s="72" t="s">
        <v>745</v>
      </c>
    </row>
    <row r="25" spans="1:332" ht="15.95" customHeight="1" x14ac:dyDescent="0.25">
      <c r="B25" s="162"/>
      <c r="C25" s="162"/>
      <c r="D25" s="162"/>
      <c r="F25" s="71" t="str">
        <f>mehrsprachigkeitBegriffsrückgabe(gewählteSpracheZurückgeben(), "Variant (foreign language)")</f>
        <v>Variante (Fremdsprache)</v>
      </c>
      <c r="H25" s="72" t="s">
        <v>792</v>
      </c>
      <c r="I25" s="72" t="s">
        <v>94</v>
      </c>
      <c r="BA25" s="147"/>
      <c r="BB25" s="173"/>
      <c r="BF25" s="147"/>
      <c r="BG25" s="83"/>
      <c r="BH25" s="73"/>
      <c r="BI25" s="147"/>
      <c r="BJ25" s="77"/>
      <c r="BK25" s="73"/>
      <c r="BL25" s="73"/>
      <c r="BM25" s="77"/>
      <c r="BN25" s="73"/>
      <c r="BO25" s="73"/>
      <c r="BP25" s="147"/>
      <c r="BQ25" s="83"/>
      <c r="BR25" s="73"/>
      <c r="BS25" s="77"/>
      <c r="BT25" s="147"/>
      <c r="BU25" s="77"/>
      <c r="BV25" s="77"/>
      <c r="BW25" s="83"/>
      <c r="BX25" s="73"/>
      <c r="BY25" s="77"/>
      <c r="BZ25" s="73"/>
      <c r="CA25" s="73"/>
      <c r="CB25" s="77"/>
      <c r="CC25" s="73"/>
      <c r="CD25" s="73"/>
      <c r="CE25" s="83"/>
      <c r="CF25" s="73"/>
      <c r="CG25" s="77"/>
      <c r="CH25" s="147"/>
      <c r="CI25" s="77"/>
      <c r="CJ25" s="77"/>
      <c r="CK25" s="83"/>
      <c r="CL25" s="73"/>
      <c r="CM25" s="77"/>
      <c r="CN25" s="73"/>
      <c r="CO25" s="73"/>
      <c r="CP25" s="77"/>
      <c r="CQ25" s="73"/>
      <c r="CR25" s="73"/>
      <c r="CS25" s="83"/>
      <c r="CT25" s="73"/>
      <c r="CU25" s="77"/>
      <c r="CV25" s="147"/>
      <c r="CW25" s="77"/>
      <c r="CX25" s="77"/>
      <c r="CY25" s="83"/>
      <c r="CZ25" s="73"/>
      <c r="DA25" s="77"/>
      <c r="DB25" s="73"/>
      <c r="DC25" s="73"/>
      <c r="DD25" s="77"/>
      <c r="DE25" s="73"/>
      <c r="DF25" s="73"/>
      <c r="DG25" s="83"/>
      <c r="DH25" s="73"/>
      <c r="DI25" s="77"/>
      <c r="DJ25" s="147"/>
      <c r="DK25" s="77"/>
      <c r="DL25" s="77"/>
      <c r="DM25" s="83"/>
      <c r="DN25" s="73"/>
      <c r="DO25" s="77"/>
      <c r="DP25" s="73"/>
      <c r="DQ25" s="73"/>
      <c r="DR25" s="77"/>
      <c r="DS25" s="73"/>
      <c r="DT25" s="73"/>
      <c r="DU25" s="83"/>
      <c r="DV25" s="73"/>
      <c r="DW25" s="77"/>
      <c r="DX25" s="147"/>
      <c r="DY25" s="77"/>
      <c r="DZ25" s="77"/>
      <c r="EA25" s="83"/>
      <c r="EB25" s="73"/>
      <c r="EC25" s="77"/>
      <c r="ED25" s="73"/>
      <c r="EE25" s="73"/>
      <c r="EF25" s="77"/>
      <c r="EG25" s="73"/>
      <c r="EH25" s="73"/>
      <c r="EI25" s="83"/>
      <c r="EJ25" s="73"/>
      <c r="EK25" s="77"/>
      <c r="EL25" s="147"/>
      <c r="EN25" s="74"/>
      <c r="EO25" s="73"/>
      <c r="ER25" s="75"/>
      <c r="ES25" s="76"/>
      <c r="ET25" s="77"/>
      <c r="EU25" s="77"/>
      <c r="EV25" s="78"/>
      <c r="FA25" s="172"/>
      <c r="FB25" s="163"/>
      <c r="FC25" s="172"/>
      <c r="FH25" s="147"/>
      <c r="FL25" s="71"/>
      <c r="FM25" s="71"/>
      <c r="FN25" s="71"/>
      <c r="FO25" s="71"/>
      <c r="FP25" s="71"/>
      <c r="FQ25" s="71"/>
      <c r="FR25" s="71"/>
      <c r="FS25" s="147"/>
      <c r="FW25" s="71"/>
      <c r="FX25" s="71"/>
      <c r="FY25" s="71"/>
      <c r="FZ25" s="71"/>
      <c r="GA25" s="71"/>
      <c r="GB25" s="71"/>
      <c r="GC25" s="71"/>
      <c r="GD25" s="71"/>
      <c r="GE25" s="71"/>
      <c r="GF25" s="71"/>
      <c r="GG25" s="71"/>
      <c r="GH25" s="71"/>
      <c r="GI25" s="71"/>
      <c r="GJ25" s="71"/>
      <c r="GK25" s="71"/>
      <c r="GL25" s="71"/>
      <c r="GM25" s="71"/>
      <c r="GN25" s="71"/>
      <c r="GO25" s="71"/>
      <c r="GP25" s="71"/>
      <c r="GQ25" s="71"/>
      <c r="GR25" s="71"/>
      <c r="GS25" s="71"/>
      <c r="GT25" s="71"/>
      <c r="GU25" s="71"/>
      <c r="GV25" s="71"/>
      <c r="GW25" s="71"/>
      <c r="GX25" s="71"/>
      <c r="GY25" s="71"/>
      <c r="GZ25" s="71"/>
      <c r="HA25" s="71"/>
      <c r="HB25" s="71"/>
      <c r="HC25" s="71"/>
      <c r="HD25" s="71"/>
      <c r="HF25" s="173"/>
    </row>
    <row r="26" spans="1:332" ht="15.95" customHeight="1" x14ac:dyDescent="0.25">
      <c r="B26" s="162"/>
      <c r="C26" s="162"/>
      <c r="D26" s="162">
        <v>1</v>
      </c>
      <c r="F26" s="71" t="str">
        <f>mehrsprachigkeitBegriffsrückgabe(gewählteSpracheZurückgeben(), "Product")</f>
        <v>Produkt</v>
      </c>
      <c r="G26" s="72" t="s">
        <v>796</v>
      </c>
      <c r="H26" s="72" t="s">
        <v>113</v>
      </c>
      <c r="I26" s="72" t="s">
        <v>86</v>
      </c>
      <c r="J26" s="72" t="s">
        <v>797</v>
      </c>
      <c r="K26" s="72" t="s">
        <v>798</v>
      </c>
      <c r="BA26" s="147"/>
      <c r="BB26" s="173"/>
      <c r="BF26" s="147"/>
      <c r="BG26" s="83"/>
      <c r="BH26" s="73"/>
      <c r="BI26" s="147"/>
      <c r="BJ26" s="77"/>
      <c r="BK26" s="73"/>
      <c r="BL26" s="73"/>
      <c r="BM26" s="77"/>
      <c r="BN26" s="73"/>
      <c r="BO26" s="73"/>
      <c r="BP26" s="147"/>
      <c r="BQ26" s="83"/>
      <c r="BR26" s="73"/>
      <c r="BS26" s="77"/>
      <c r="BT26" s="147"/>
      <c r="BU26" s="77"/>
      <c r="BV26" s="77"/>
      <c r="BW26" s="83"/>
      <c r="BX26" s="73"/>
      <c r="BY26" s="77"/>
      <c r="BZ26" s="73"/>
      <c r="CA26" s="73"/>
      <c r="CB26" s="77"/>
      <c r="CC26" s="73"/>
      <c r="CD26" s="73"/>
      <c r="CE26" s="83"/>
      <c r="CF26" s="73"/>
      <c r="CG26" s="77"/>
      <c r="CH26" s="147"/>
      <c r="CI26" s="77"/>
      <c r="CJ26" s="77"/>
      <c r="CK26" s="83"/>
      <c r="CL26" s="73"/>
      <c r="CM26" s="77"/>
      <c r="CN26" s="73"/>
      <c r="CO26" s="73"/>
      <c r="CP26" s="77"/>
      <c r="CQ26" s="73"/>
      <c r="CR26" s="73"/>
      <c r="CS26" s="83"/>
      <c r="CT26" s="73"/>
      <c r="CU26" s="77"/>
      <c r="CV26" s="147"/>
      <c r="CW26" s="77"/>
      <c r="CX26" s="77"/>
      <c r="CY26" s="83"/>
      <c r="CZ26" s="73"/>
      <c r="DA26" s="77"/>
      <c r="DB26" s="73"/>
      <c r="DC26" s="73"/>
      <c r="DD26" s="77"/>
      <c r="DE26" s="73"/>
      <c r="DF26" s="73"/>
      <c r="DG26" s="83"/>
      <c r="DH26" s="73"/>
      <c r="DI26" s="77"/>
      <c r="DJ26" s="147"/>
      <c r="DK26" s="77"/>
      <c r="DL26" s="77"/>
      <c r="DM26" s="83"/>
      <c r="DN26" s="73"/>
      <c r="DO26" s="77"/>
      <c r="DP26" s="73"/>
      <c r="DQ26" s="73"/>
      <c r="DR26" s="77"/>
      <c r="DS26" s="73"/>
      <c r="DT26" s="73"/>
      <c r="DU26" s="83"/>
      <c r="DV26" s="73"/>
      <c r="DW26" s="77"/>
      <c r="DX26" s="147"/>
      <c r="DY26" s="77"/>
      <c r="DZ26" s="77"/>
      <c r="EA26" s="83"/>
      <c r="EB26" s="73"/>
      <c r="EC26" s="77"/>
      <c r="ED26" s="73"/>
      <c r="EE26" s="73"/>
      <c r="EF26" s="77"/>
      <c r="EG26" s="73"/>
      <c r="EH26" s="73"/>
      <c r="EI26" s="83"/>
      <c r="EJ26" s="73"/>
      <c r="EK26" s="77"/>
      <c r="EL26" s="147"/>
      <c r="EN26" s="74"/>
      <c r="EO26" s="73"/>
      <c r="ER26" s="75"/>
      <c r="ES26" s="76"/>
      <c r="ET26" s="77"/>
      <c r="EU26" s="77"/>
      <c r="EV26" s="78"/>
      <c r="FA26" s="172"/>
      <c r="FB26" s="163"/>
      <c r="FC26" s="172"/>
      <c r="FH26" s="147"/>
      <c r="FL26" s="71"/>
      <c r="FM26" s="71"/>
      <c r="FN26" s="71"/>
      <c r="FO26" s="71"/>
      <c r="FP26" s="71"/>
      <c r="FQ26" s="71"/>
      <c r="FR26" s="71"/>
      <c r="FS26" s="147"/>
      <c r="FW26" s="71"/>
      <c r="FX26" s="71"/>
      <c r="FY26" s="71"/>
      <c r="FZ26" s="71"/>
      <c r="GA26" s="71"/>
      <c r="GB26" s="71"/>
      <c r="GC26" s="71"/>
      <c r="GD26" s="71"/>
      <c r="GE26" s="71"/>
      <c r="GF26" s="71"/>
      <c r="GG26" s="71"/>
      <c r="GH26" s="71"/>
      <c r="GI26" s="71"/>
      <c r="GJ26" s="71"/>
      <c r="GK26" s="71"/>
      <c r="GL26" s="71"/>
      <c r="GM26" s="71"/>
      <c r="GN26" s="71"/>
      <c r="GO26" s="71"/>
      <c r="GP26" s="71"/>
      <c r="GQ26" s="71"/>
      <c r="GR26" s="71"/>
      <c r="GS26" s="71"/>
      <c r="GT26" s="71"/>
      <c r="GU26" s="71"/>
      <c r="GV26" s="71"/>
      <c r="GW26" s="71"/>
      <c r="GX26" s="71"/>
      <c r="GY26" s="71"/>
      <c r="GZ26" s="71"/>
      <c r="HA26" s="71"/>
      <c r="HB26" s="71"/>
      <c r="HC26" s="71"/>
      <c r="HD26" s="71"/>
      <c r="HF26" s="173" t="s">
        <v>772</v>
      </c>
      <c r="HG26" s="72" t="s">
        <v>773</v>
      </c>
      <c r="HH26" s="72" t="s">
        <v>734</v>
      </c>
      <c r="HI26" s="72" t="s">
        <v>765</v>
      </c>
      <c r="HM26" s="83">
        <v>490</v>
      </c>
      <c r="KS26" s="72" t="s">
        <v>115</v>
      </c>
      <c r="KT26" s="74">
        <v>0</v>
      </c>
      <c r="KV26" s="72" t="s">
        <v>77</v>
      </c>
      <c r="KX26" s="75">
        <v>0</v>
      </c>
      <c r="KY26" s="76">
        <v>0</v>
      </c>
      <c r="LF26" s="72" t="s">
        <v>799</v>
      </c>
      <c r="LG26" s="72" t="s">
        <v>800</v>
      </c>
      <c r="LH26" s="72" t="s">
        <v>756</v>
      </c>
      <c r="LI26" s="72" t="s">
        <v>745</v>
      </c>
      <c r="LS26" s="72" t="s">
        <v>773</v>
      </c>
      <c r="LT26" s="72" t="s">
        <v>751</v>
      </c>
    </row>
    <row r="27" spans="1:332" ht="15.95" customHeight="1" x14ac:dyDescent="0.25">
      <c r="B27" s="162"/>
      <c r="C27" s="162"/>
      <c r="D27" s="162"/>
      <c r="F27" s="71" t="str">
        <f>mehrsprachigkeitBegriffsrückgabe(gewählteSpracheZurückgeben(), "Product (foreign language)")</f>
        <v>Produkt (Fremdsprache)</v>
      </c>
      <c r="H27" s="72" t="s">
        <v>796</v>
      </c>
      <c r="I27" s="72" t="s">
        <v>94</v>
      </c>
      <c r="J27" s="72" t="s">
        <v>801</v>
      </c>
      <c r="K27" s="72" t="s">
        <v>802</v>
      </c>
      <c r="BA27" s="147"/>
      <c r="BB27" s="173"/>
      <c r="BF27" s="147"/>
      <c r="BG27" s="83"/>
      <c r="BH27" s="73"/>
      <c r="BI27" s="147"/>
      <c r="BJ27" s="77"/>
      <c r="BK27" s="73"/>
      <c r="BL27" s="73"/>
      <c r="BM27" s="77"/>
      <c r="BN27" s="73"/>
      <c r="BO27" s="73"/>
      <c r="BP27" s="147"/>
      <c r="BQ27" s="83"/>
      <c r="BR27" s="73"/>
      <c r="BS27" s="77"/>
      <c r="BT27" s="147"/>
      <c r="BU27" s="77"/>
      <c r="BV27" s="77"/>
      <c r="BW27" s="83"/>
      <c r="BX27" s="73"/>
      <c r="BY27" s="77"/>
      <c r="BZ27" s="73"/>
      <c r="CA27" s="73"/>
      <c r="CB27" s="77"/>
      <c r="CC27" s="73"/>
      <c r="CD27" s="73"/>
      <c r="CE27" s="83"/>
      <c r="CF27" s="73"/>
      <c r="CG27" s="77"/>
      <c r="CH27" s="147"/>
      <c r="CI27" s="77"/>
      <c r="CJ27" s="77"/>
      <c r="CK27" s="83"/>
      <c r="CL27" s="73"/>
      <c r="CM27" s="77"/>
      <c r="CN27" s="73"/>
      <c r="CO27" s="73"/>
      <c r="CP27" s="77"/>
      <c r="CQ27" s="73"/>
      <c r="CR27" s="73"/>
      <c r="CS27" s="83"/>
      <c r="CT27" s="73"/>
      <c r="CU27" s="77"/>
      <c r="CV27" s="147"/>
      <c r="CW27" s="77"/>
      <c r="CX27" s="77"/>
      <c r="CY27" s="83"/>
      <c r="CZ27" s="73"/>
      <c r="DA27" s="77"/>
      <c r="DB27" s="73"/>
      <c r="DC27" s="73"/>
      <c r="DD27" s="77"/>
      <c r="DE27" s="73"/>
      <c r="DF27" s="73"/>
      <c r="DG27" s="83"/>
      <c r="DH27" s="73"/>
      <c r="DI27" s="77"/>
      <c r="DJ27" s="147"/>
      <c r="DK27" s="77"/>
      <c r="DL27" s="77"/>
      <c r="DM27" s="83"/>
      <c r="DN27" s="73"/>
      <c r="DO27" s="77"/>
      <c r="DP27" s="73"/>
      <c r="DQ27" s="73"/>
      <c r="DR27" s="77"/>
      <c r="DS27" s="73"/>
      <c r="DT27" s="73"/>
      <c r="DU27" s="83"/>
      <c r="DV27" s="73"/>
      <c r="DW27" s="77"/>
      <c r="DX27" s="147"/>
      <c r="DY27" s="77"/>
      <c r="DZ27" s="77"/>
      <c r="EA27" s="83"/>
      <c r="EB27" s="73"/>
      <c r="EC27" s="77"/>
      <c r="ED27" s="73"/>
      <c r="EE27" s="73"/>
      <c r="EF27" s="77"/>
      <c r="EG27" s="73"/>
      <c r="EH27" s="73"/>
      <c r="EI27" s="83"/>
      <c r="EJ27" s="73"/>
      <c r="EK27" s="77"/>
      <c r="EL27" s="147"/>
      <c r="EN27" s="74"/>
      <c r="EO27" s="73"/>
      <c r="ER27" s="75"/>
      <c r="ES27" s="76"/>
      <c r="ET27" s="77"/>
      <c r="EU27" s="77"/>
      <c r="EV27" s="78"/>
      <c r="FA27" s="172"/>
      <c r="FB27" s="163"/>
      <c r="FC27" s="172"/>
      <c r="FH27" s="147"/>
      <c r="FL27" s="71"/>
      <c r="FM27" s="71"/>
      <c r="FN27" s="71"/>
      <c r="FO27" s="71"/>
      <c r="FP27" s="71"/>
      <c r="FQ27" s="71"/>
      <c r="FR27" s="71"/>
      <c r="FS27" s="147"/>
      <c r="FW27" s="71"/>
      <c r="FX27" s="71"/>
      <c r="FY27" s="71"/>
      <c r="FZ27" s="71"/>
      <c r="GA27" s="71"/>
      <c r="GB27" s="71"/>
      <c r="GC27" s="71"/>
      <c r="GD27" s="71"/>
      <c r="GE27" s="71"/>
      <c r="GF27" s="71"/>
      <c r="GG27" s="71"/>
      <c r="GH27" s="71"/>
      <c r="GI27" s="71"/>
      <c r="GJ27" s="71"/>
      <c r="GK27" s="71"/>
      <c r="GL27" s="71"/>
      <c r="GM27" s="71"/>
      <c r="GN27" s="71"/>
      <c r="GO27" s="71"/>
      <c r="GP27" s="71"/>
      <c r="GQ27" s="71"/>
      <c r="GR27" s="71"/>
      <c r="GS27" s="71"/>
      <c r="GT27" s="71"/>
      <c r="GU27" s="71"/>
      <c r="GV27" s="71"/>
      <c r="GW27" s="71"/>
      <c r="GX27" s="71"/>
      <c r="GY27" s="71"/>
      <c r="GZ27" s="71"/>
      <c r="HA27" s="71"/>
      <c r="HB27" s="71"/>
      <c r="HC27" s="71"/>
      <c r="HD27" s="71"/>
      <c r="HF27" s="173" t="s">
        <v>772</v>
      </c>
      <c r="HG27" s="72" t="s">
        <v>773</v>
      </c>
      <c r="KV27" s="72" t="s">
        <v>743</v>
      </c>
    </row>
    <row r="28" spans="1:332" ht="15.95" customHeight="1" x14ac:dyDescent="0.25">
      <c r="B28" s="162"/>
      <c r="C28" s="162"/>
      <c r="D28" s="162">
        <v>1</v>
      </c>
      <c r="F28" s="71" t="str">
        <f>mehrsprachigkeitBegriffsrückgabe(gewählteSpracheZurückgeben(), "Product")</f>
        <v>Produkt</v>
      </c>
      <c r="G28" s="72" t="s">
        <v>803</v>
      </c>
      <c r="I28" s="72" t="s">
        <v>86</v>
      </c>
      <c r="J28" s="72" t="s">
        <v>804</v>
      </c>
      <c r="K28" s="72" t="s">
        <v>805</v>
      </c>
      <c r="M28" s="150" t="s">
        <v>532</v>
      </c>
      <c r="N28" s="72" t="s">
        <v>726</v>
      </c>
      <c r="O28" s="72" t="s">
        <v>532</v>
      </c>
      <c r="P28" s="72" t="s">
        <v>729</v>
      </c>
      <c r="Q28" s="72" t="s">
        <v>523</v>
      </c>
      <c r="R28" s="72" t="s">
        <v>707</v>
      </c>
      <c r="S28" s="72" t="s">
        <v>523</v>
      </c>
      <c r="T28" s="72" t="s">
        <v>527</v>
      </c>
      <c r="BA28" s="147"/>
      <c r="BB28" s="173"/>
      <c r="BF28" s="147"/>
      <c r="BG28" s="83"/>
      <c r="BH28" s="73"/>
      <c r="BI28" s="147"/>
      <c r="BJ28" s="77"/>
      <c r="BK28" s="73"/>
      <c r="BL28" s="73"/>
      <c r="BM28" s="77"/>
      <c r="BN28" s="73"/>
      <c r="BO28" s="73"/>
      <c r="BP28" s="147"/>
      <c r="BQ28" s="83"/>
      <c r="BR28" s="73"/>
      <c r="BS28" s="77"/>
      <c r="BT28" s="147"/>
      <c r="BU28" s="77"/>
      <c r="BV28" s="77"/>
      <c r="BW28" s="83"/>
      <c r="BX28" s="73"/>
      <c r="BY28" s="77"/>
      <c r="BZ28" s="73"/>
      <c r="CA28" s="73"/>
      <c r="CB28" s="77"/>
      <c r="CC28" s="73"/>
      <c r="CD28" s="73"/>
      <c r="CE28" s="83"/>
      <c r="CF28" s="73"/>
      <c r="CG28" s="77"/>
      <c r="CH28" s="147"/>
      <c r="CI28" s="77"/>
      <c r="CJ28" s="77"/>
      <c r="CK28" s="83"/>
      <c r="CL28" s="73"/>
      <c r="CM28" s="77"/>
      <c r="CN28" s="73"/>
      <c r="CO28" s="73"/>
      <c r="CP28" s="77"/>
      <c r="CQ28" s="73"/>
      <c r="CR28" s="73"/>
      <c r="CS28" s="83"/>
      <c r="CT28" s="73"/>
      <c r="CU28" s="77"/>
      <c r="CV28" s="147"/>
      <c r="CW28" s="77"/>
      <c r="CX28" s="77"/>
      <c r="CY28" s="83"/>
      <c r="CZ28" s="73"/>
      <c r="DA28" s="77"/>
      <c r="DB28" s="73"/>
      <c r="DC28" s="73"/>
      <c r="DD28" s="77"/>
      <c r="DE28" s="73"/>
      <c r="DF28" s="73"/>
      <c r="DG28" s="83"/>
      <c r="DH28" s="73"/>
      <c r="DI28" s="77"/>
      <c r="DJ28" s="147"/>
      <c r="DK28" s="77"/>
      <c r="DL28" s="77"/>
      <c r="DM28" s="83"/>
      <c r="DN28" s="73"/>
      <c r="DO28" s="77"/>
      <c r="DP28" s="73"/>
      <c r="DQ28" s="73"/>
      <c r="DR28" s="77"/>
      <c r="DS28" s="73"/>
      <c r="DT28" s="73"/>
      <c r="DU28" s="83"/>
      <c r="DV28" s="73"/>
      <c r="DW28" s="77"/>
      <c r="DX28" s="147"/>
      <c r="DY28" s="77"/>
      <c r="DZ28" s="77"/>
      <c r="EA28" s="83"/>
      <c r="EB28" s="73"/>
      <c r="EC28" s="77"/>
      <c r="ED28" s="73"/>
      <c r="EE28" s="73"/>
      <c r="EF28" s="77"/>
      <c r="EG28" s="73"/>
      <c r="EH28" s="73"/>
      <c r="EI28" s="83"/>
      <c r="EJ28" s="73"/>
      <c r="EK28" s="77"/>
      <c r="EL28" s="147"/>
      <c r="EN28" s="74"/>
      <c r="EO28" s="73"/>
      <c r="ER28" s="75"/>
      <c r="ES28" s="76"/>
      <c r="ET28" s="77"/>
      <c r="EU28" s="77"/>
      <c r="EV28" s="78"/>
      <c r="FA28" s="172"/>
      <c r="FB28" s="163"/>
      <c r="FC28" s="172"/>
      <c r="FH28" s="147"/>
      <c r="FL28" s="71"/>
      <c r="FM28" s="71"/>
      <c r="FN28" s="71"/>
      <c r="FO28" s="71"/>
      <c r="FP28" s="71"/>
      <c r="FQ28" s="71"/>
      <c r="FR28" s="71"/>
      <c r="FS28" s="147"/>
      <c r="FW28" s="71"/>
      <c r="FX28" s="71"/>
      <c r="FY28" s="71"/>
      <c r="FZ28" s="71"/>
      <c r="GA28" s="71"/>
      <c r="GB28" s="71"/>
      <c r="GC28" s="71"/>
      <c r="GD28" s="71"/>
      <c r="GE28" s="71"/>
      <c r="GF28" s="71"/>
      <c r="GG28" s="71"/>
      <c r="GH28" s="71"/>
      <c r="GI28" s="71"/>
      <c r="GJ28" s="71"/>
      <c r="GK28" s="71"/>
      <c r="GL28" s="71"/>
      <c r="GM28" s="71"/>
      <c r="GN28" s="71"/>
      <c r="GO28" s="71"/>
      <c r="GP28" s="71"/>
      <c r="GQ28" s="71"/>
      <c r="GR28" s="71"/>
      <c r="GS28" s="71"/>
      <c r="GT28" s="71"/>
      <c r="GU28" s="71"/>
      <c r="GV28" s="71"/>
      <c r="GW28" s="71"/>
      <c r="GX28" s="71"/>
      <c r="GY28" s="71"/>
      <c r="GZ28" s="71"/>
      <c r="HA28" s="71"/>
      <c r="HB28" s="71"/>
      <c r="HC28" s="71"/>
      <c r="HD28" s="71"/>
      <c r="HF28" s="173" t="s">
        <v>772</v>
      </c>
      <c r="HG28" s="72" t="s">
        <v>806</v>
      </c>
      <c r="HH28" s="72" t="s">
        <v>734</v>
      </c>
      <c r="HI28" s="72" t="s">
        <v>765</v>
      </c>
      <c r="HM28" s="83">
        <v>79279</v>
      </c>
      <c r="KS28" s="72" t="s">
        <v>115</v>
      </c>
      <c r="KT28" s="74">
        <v>0</v>
      </c>
      <c r="KV28" s="72" t="s">
        <v>77</v>
      </c>
      <c r="KX28" s="75">
        <v>0</v>
      </c>
      <c r="KY28" s="76">
        <v>0</v>
      </c>
      <c r="LC28" s="77">
        <v>1</v>
      </c>
      <c r="LD28" s="77">
        <v>1</v>
      </c>
      <c r="LF28" s="72" t="s">
        <v>800</v>
      </c>
      <c r="LG28" s="72" t="s">
        <v>807</v>
      </c>
      <c r="LH28" s="72" t="s">
        <v>756</v>
      </c>
      <c r="LI28" s="72" t="s">
        <v>745</v>
      </c>
      <c r="LS28" s="72" t="s">
        <v>808</v>
      </c>
      <c r="LT28" s="72" t="s">
        <v>809</v>
      </c>
    </row>
    <row r="29" spans="1:332" ht="15.95" customHeight="1" x14ac:dyDescent="0.25">
      <c r="B29" s="162"/>
      <c r="C29" s="162"/>
      <c r="D29" s="162"/>
      <c r="F29" s="71" t="str">
        <f>mehrsprachigkeitBegriffsrückgabe(gewählteSpracheZurückgeben(), "Product (foreign language)")</f>
        <v>Produkt (Fremdsprache)</v>
      </c>
      <c r="H29" s="72" t="s">
        <v>803</v>
      </c>
      <c r="I29" s="72" t="s">
        <v>94</v>
      </c>
      <c r="J29" s="72" t="s">
        <v>810</v>
      </c>
      <c r="K29" s="72" t="s">
        <v>805</v>
      </c>
      <c r="BA29" s="147"/>
      <c r="BB29" s="173"/>
      <c r="BF29" s="147"/>
      <c r="BG29" s="83"/>
      <c r="BH29" s="73"/>
      <c r="BI29" s="147"/>
      <c r="BJ29" s="77"/>
      <c r="BK29" s="73"/>
      <c r="BL29" s="73"/>
      <c r="BM29" s="77"/>
      <c r="BN29" s="73"/>
      <c r="BO29" s="73"/>
      <c r="BP29" s="147"/>
      <c r="BQ29" s="83"/>
      <c r="BR29" s="73"/>
      <c r="BS29" s="77"/>
      <c r="BT29" s="147"/>
      <c r="BU29" s="77"/>
      <c r="BV29" s="77"/>
      <c r="BW29" s="83"/>
      <c r="BX29" s="73"/>
      <c r="BY29" s="77"/>
      <c r="BZ29" s="73"/>
      <c r="CA29" s="73"/>
      <c r="CB29" s="77"/>
      <c r="CC29" s="73"/>
      <c r="CD29" s="73"/>
      <c r="CE29" s="83"/>
      <c r="CF29" s="73"/>
      <c r="CG29" s="77"/>
      <c r="CH29" s="147"/>
      <c r="CI29" s="77"/>
      <c r="CJ29" s="77"/>
      <c r="CK29" s="83"/>
      <c r="CL29" s="73"/>
      <c r="CM29" s="77"/>
      <c r="CN29" s="73"/>
      <c r="CO29" s="73"/>
      <c r="CP29" s="77"/>
      <c r="CQ29" s="73"/>
      <c r="CR29" s="73"/>
      <c r="CS29" s="83"/>
      <c r="CT29" s="73"/>
      <c r="CU29" s="77"/>
      <c r="CV29" s="147"/>
      <c r="CW29" s="77"/>
      <c r="CX29" s="77"/>
      <c r="CY29" s="83"/>
      <c r="CZ29" s="73"/>
      <c r="DA29" s="77"/>
      <c r="DB29" s="73"/>
      <c r="DC29" s="73"/>
      <c r="DD29" s="77"/>
      <c r="DE29" s="73"/>
      <c r="DF29" s="73"/>
      <c r="DG29" s="83"/>
      <c r="DH29" s="73"/>
      <c r="DI29" s="77"/>
      <c r="DJ29" s="147"/>
      <c r="DK29" s="77"/>
      <c r="DL29" s="77"/>
      <c r="DM29" s="83"/>
      <c r="DN29" s="73"/>
      <c r="DO29" s="77"/>
      <c r="DP29" s="73"/>
      <c r="DQ29" s="73"/>
      <c r="DR29" s="77"/>
      <c r="DS29" s="73"/>
      <c r="DT29" s="73"/>
      <c r="DU29" s="83"/>
      <c r="DV29" s="73"/>
      <c r="DW29" s="77"/>
      <c r="DX29" s="147"/>
      <c r="DY29" s="77"/>
      <c r="DZ29" s="77"/>
      <c r="EA29" s="83"/>
      <c r="EB29" s="73"/>
      <c r="EC29" s="77"/>
      <c r="ED29" s="73"/>
      <c r="EE29" s="73"/>
      <c r="EF29" s="77"/>
      <c r="EG29" s="73"/>
      <c r="EH29" s="73"/>
      <c r="EI29" s="83"/>
      <c r="EJ29" s="73"/>
      <c r="EK29" s="77"/>
      <c r="EL29" s="147"/>
      <c r="EN29" s="74"/>
      <c r="EO29" s="73"/>
      <c r="ER29" s="75"/>
      <c r="ES29" s="76"/>
      <c r="ET29" s="77"/>
      <c r="EU29" s="77"/>
      <c r="EV29" s="78"/>
      <c r="FA29" s="172"/>
      <c r="FB29" s="163"/>
      <c r="FC29" s="172"/>
      <c r="FH29" s="147"/>
      <c r="FL29" s="71"/>
      <c r="FM29" s="71"/>
      <c r="FN29" s="71"/>
      <c r="FO29" s="71"/>
      <c r="FP29" s="71"/>
      <c r="FQ29" s="71"/>
      <c r="FR29" s="71"/>
      <c r="FS29" s="147"/>
      <c r="FW29" s="71"/>
      <c r="FX29" s="71"/>
      <c r="FY29" s="71"/>
      <c r="FZ29" s="71"/>
      <c r="GA29" s="71"/>
      <c r="GB29" s="71"/>
      <c r="GC29" s="71"/>
      <c r="GD29" s="71"/>
      <c r="GE29" s="71"/>
      <c r="GF29" s="71"/>
      <c r="GG29" s="71"/>
      <c r="GH29" s="71"/>
      <c r="GI29" s="71"/>
      <c r="GJ29" s="71"/>
      <c r="GK29" s="71"/>
      <c r="GL29" s="71"/>
      <c r="GM29" s="71"/>
      <c r="GN29" s="71"/>
      <c r="GO29" s="71"/>
      <c r="GP29" s="71"/>
      <c r="GQ29" s="71"/>
      <c r="GR29" s="71"/>
      <c r="GS29" s="71"/>
      <c r="GT29" s="71"/>
      <c r="GU29" s="71"/>
      <c r="GV29" s="71"/>
      <c r="GW29" s="71"/>
      <c r="GX29" s="71"/>
      <c r="GY29" s="71"/>
      <c r="GZ29" s="71"/>
      <c r="HA29" s="71"/>
      <c r="HB29" s="71"/>
      <c r="HC29" s="71"/>
      <c r="HD29" s="71"/>
      <c r="HF29" s="173" t="s">
        <v>772</v>
      </c>
      <c r="HG29" s="72" t="s">
        <v>806</v>
      </c>
      <c r="KV29" s="72" t="s">
        <v>743</v>
      </c>
    </row>
    <row r="30" spans="1:332" ht="15.95" customHeight="1" x14ac:dyDescent="0.25">
      <c r="B30" s="162"/>
      <c r="C30" s="162"/>
      <c r="D30" s="162">
        <v>1</v>
      </c>
      <c r="F30" s="71" t="str">
        <f>mehrsprachigkeitBegriffsrückgabe(gewählteSpracheZurückgeben(), "Product")</f>
        <v>Produkt</v>
      </c>
      <c r="G30" s="72" t="s">
        <v>811</v>
      </c>
      <c r="I30" s="72" t="s">
        <v>86</v>
      </c>
      <c r="J30" s="72" t="s">
        <v>812</v>
      </c>
      <c r="K30" s="72" t="s">
        <v>813</v>
      </c>
      <c r="BA30" s="147"/>
      <c r="BB30" s="173"/>
      <c r="BF30" s="147"/>
      <c r="BG30" s="83"/>
      <c r="BH30" s="73"/>
      <c r="BI30" s="147"/>
      <c r="BJ30" s="77"/>
      <c r="BK30" s="73"/>
      <c r="BL30" s="73"/>
      <c r="BM30" s="77"/>
      <c r="BN30" s="73"/>
      <c r="BO30" s="73"/>
      <c r="BP30" s="147"/>
      <c r="BQ30" s="83"/>
      <c r="BR30" s="73"/>
      <c r="BS30" s="77"/>
      <c r="BT30" s="147"/>
      <c r="BU30" s="77"/>
      <c r="BV30" s="77"/>
      <c r="BW30" s="83"/>
      <c r="BX30" s="73"/>
      <c r="BY30" s="77"/>
      <c r="BZ30" s="73"/>
      <c r="CA30" s="73"/>
      <c r="CB30" s="77"/>
      <c r="CC30" s="73"/>
      <c r="CD30" s="73"/>
      <c r="CE30" s="83"/>
      <c r="CF30" s="73"/>
      <c r="CG30" s="77"/>
      <c r="CH30" s="147"/>
      <c r="CI30" s="77"/>
      <c r="CJ30" s="77"/>
      <c r="CK30" s="83"/>
      <c r="CL30" s="73"/>
      <c r="CM30" s="77"/>
      <c r="CN30" s="73"/>
      <c r="CO30" s="73"/>
      <c r="CP30" s="77"/>
      <c r="CQ30" s="73"/>
      <c r="CR30" s="73"/>
      <c r="CS30" s="83"/>
      <c r="CT30" s="73"/>
      <c r="CU30" s="77"/>
      <c r="CV30" s="147"/>
      <c r="CW30" s="77"/>
      <c r="CX30" s="77"/>
      <c r="CY30" s="83"/>
      <c r="CZ30" s="73"/>
      <c r="DA30" s="77"/>
      <c r="DB30" s="73"/>
      <c r="DC30" s="73"/>
      <c r="DD30" s="77"/>
      <c r="DE30" s="73"/>
      <c r="DF30" s="73"/>
      <c r="DG30" s="83"/>
      <c r="DH30" s="73"/>
      <c r="DI30" s="77"/>
      <c r="DJ30" s="147"/>
      <c r="DK30" s="77"/>
      <c r="DL30" s="77"/>
      <c r="DM30" s="83"/>
      <c r="DN30" s="73"/>
      <c r="DO30" s="77"/>
      <c r="DP30" s="73"/>
      <c r="DQ30" s="73"/>
      <c r="DR30" s="77"/>
      <c r="DS30" s="73"/>
      <c r="DT30" s="73"/>
      <c r="DU30" s="83"/>
      <c r="DV30" s="73"/>
      <c r="DW30" s="77"/>
      <c r="DX30" s="147"/>
      <c r="DY30" s="77"/>
      <c r="DZ30" s="77"/>
      <c r="EA30" s="83"/>
      <c r="EB30" s="73"/>
      <c r="EC30" s="77"/>
      <c r="ED30" s="73"/>
      <c r="EE30" s="73"/>
      <c r="EF30" s="77"/>
      <c r="EG30" s="73"/>
      <c r="EH30" s="73"/>
      <c r="EI30" s="83"/>
      <c r="EJ30" s="73"/>
      <c r="EK30" s="77"/>
      <c r="EL30" s="147"/>
      <c r="EN30" s="74"/>
      <c r="EO30" s="73"/>
      <c r="ER30" s="75"/>
      <c r="ES30" s="76"/>
      <c r="ET30" s="77"/>
      <c r="EU30" s="77"/>
      <c r="EV30" s="78"/>
      <c r="FA30" s="172"/>
      <c r="FB30" s="163"/>
      <c r="FC30" s="172"/>
      <c r="FH30" s="147"/>
      <c r="FL30" s="71"/>
      <c r="FM30" s="71"/>
      <c r="FN30" s="71"/>
      <c r="FO30" s="71"/>
      <c r="FP30" s="71"/>
      <c r="FQ30" s="71"/>
      <c r="FR30" s="71"/>
      <c r="FS30" s="147"/>
      <c r="FW30" s="71"/>
      <c r="FX30" s="71"/>
      <c r="FY30" s="71"/>
      <c r="FZ30" s="71"/>
      <c r="GA30" s="71"/>
      <c r="GB30" s="71"/>
      <c r="GC30" s="71"/>
      <c r="GD30" s="71"/>
      <c r="GE30" s="71"/>
      <c r="GF30" s="71"/>
      <c r="GG30" s="71"/>
      <c r="GH30" s="71"/>
      <c r="GI30" s="71"/>
      <c r="GJ30" s="71"/>
      <c r="GK30" s="71"/>
      <c r="GL30" s="71"/>
      <c r="GM30" s="71"/>
      <c r="GN30" s="71"/>
      <c r="GO30" s="71"/>
      <c r="GP30" s="71"/>
      <c r="GQ30" s="71"/>
      <c r="GR30" s="71"/>
      <c r="GS30" s="71"/>
      <c r="GT30" s="71"/>
      <c r="GU30" s="71"/>
      <c r="GV30" s="71"/>
      <c r="GW30" s="71"/>
      <c r="GX30" s="71"/>
      <c r="GY30" s="71"/>
      <c r="GZ30" s="71"/>
      <c r="HA30" s="71"/>
      <c r="HB30" s="71"/>
      <c r="HC30" s="71"/>
      <c r="HD30" s="71"/>
      <c r="HF30" s="173" t="s">
        <v>772</v>
      </c>
      <c r="HG30" s="72" t="s">
        <v>806</v>
      </c>
      <c r="HH30" s="72" t="s">
        <v>734</v>
      </c>
      <c r="HI30" s="72" t="s">
        <v>814</v>
      </c>
      <c r="HM30" s="83">
        <v>169</v>
      </c>
      <c r="KS30" s="72" t="s">
        <v>115</v>
      </c>
      <c r="KT30" s="74">
        <v>0</v>
      </c>
      <c r="KV30" s="72" t="s">
        <v>77</v>
      </c>
      <c r="KX30" s="75">
        <v>0</v>
      </c>
      <c r="KY30" s="76">
        <v>0</v>
      </c>
      <c r="LF30" s="72" t="s">
        <v>113</v>
      </c>
      <c r="LG30" s="72" t="s">
        <v>113</v>
      </c>
      <c r="LH30" s="72" t="s">
        <v>767</v>
      </c>
      <c r="LI30" s="72" t="s">
        <v>745</v>
      </c>
      <c r="LS30" s="72" t="s">
        <v>809</v>
      </c>
      <c r="LT30" s="72" t="s">
        <v>751</v>
      </c>
    </row>
    <row r="31" spans="1:332" ht="15.95" customHeight="1" x14ac:dyDescent="0.25">
      <c r="B31" s="162"/>
      <c r="C31" s="162"/>
      <c r="D31" s="162"/>
      <c r="F31" s="71" t="str">
        <f>mehrsprachigkeitBegriffsrückgabe(gewählteSpracheZurückgeben(), "Product (foreign language)")</f>
        <v>Produkt (Fremdsprache)</v>
      </c>
      <c r="H31" s="72" t="s">
        <v>811</v>
      </c>
      <c r="I31" s="72" t="s">
        <v>94</v>
      </c>
      <c r="J31" s="72" t="s">
        <v>815</v>
      </c>
      <c r="K31" s="72" t="s">
        <v>816</v>
      </c>
      <c r="BA31" s="147"/>
      <c r="BB31" s="173"/>
      <c r="BF31" s="147"/>
      <c r="BG31" s="83"/>
      <c r="BH31" s="73"/>
      <c r="BI31" s="147"/>
      <c r="BJ31" s="77"/>
      <c r="BK31" s="73"/>
      <c r="BL31" s="73"/>
      <c r="BM31" s="77"/>
      <c r="BN31" s="73"/>
      <c r="BO31" s="73"/>
      <c r="BP31" s="147"/>
      <c r="BQ31" s="83"/>
      <c r="BR31" s="73"/>
      <c r="BS31" s="77"/>
      <c r="BT31" s="147"/>
      <c r="BU31" s="77"/>
      <c r="BV31" s="77"/>
      <c r="BW31" s="83"/>
      <c r="BX31" s="73"/>
      <c r="BY31" s="77"/>
      <c r="BZ31" s="73"/>
      <c r="CA31" s="73"/>
      <c r="CB31" s="77"/>
      <c r="CC31" s="73"/>
      <c r="CD31" s="73"/>
      <c r="CE31" s="83"/>
      <c r="CF31" s="73"/>
      <c r="CG31" s="77"/>
      <c r="CH31" s="147"/>
      <c r="CI31" s="77"/>
      <c r="CJ31" s="77"/>
      <c r="CK31" s="83"/>
      <c r="CL31" s="73"/>
      <c r="CM31" s="77"/>
      <c r="CN31" s="73"/>
      <c r="CO31" s="73"/>
      <c r="CP31" s="77"/>
      <c r="CQ31" s="73"/>
      <c r="CR31" s="73"/>
      <c r="CS31" s="83"/>
      <c r="CT31" s="73"/>
      <c r="CU31" s="77"/>
      <c r="CV31" s="147"/>
      <c r="CW31" s="77"/>
      <c r="CX31" s="77"/>
      <c r="CY31" s="83"/>
      <c r="CZ31" s="73"/>
      <c r="DA31" s="77"/>
      <c r="DB31" s="73"/>
      <c r="DC31" s="73"/>
      <c r="DD31" s="77"/>
      <c r="DE31" s="73"/>
      <c r="DF31" s="73"/>
      <c r="DG31" s="83"/>
      <c r="DH31" s="73"/>
      <c r="DI31" s="77"/>
      <c r="DJ31" s="147"/>
      <c r="DK31" s="77"/>
      <c r="DL31" s="77"/>
      <c r="DM31" s="83"/>
      <c r="DN31" s="73"/>
      <c r="DO31" s="77"/>
      <c r="DP31" s="73"/>
      <c r="DQ31" s="73"/>
      <c r="DR31" s="77"/>
      <c r="DS31" s="73"/>
      <c r="DT31" s="73"/>
      <c r="DU31" s="83"/>
      <c r="DV31" s="73"/>
      <c r="DW31" s="77"/>
      <c r="DX31" s="147"/>
      <c r="DY31" s="77"/>
      <c r="DZ31" s="77"/>
      <c r="EA31" s="83"/>
      <c r="EB31" s="73"/>
      <c r="EC31" s="77"/>
      <c r="ED31" s="73"/>
      <c r="EE31" s="73"/>
      <c r="EF31" s="77"/>
      <c r="EG31" s="73"/>
      <c r="EH31" s="73"/>
      <c r="EI31" s="83"/>
      <c r="EJ31" s="73"/>
      <c r="EK31" s="77"/>
      <c r="EL31" s="147"/>
      <c r="EN31" s="74"/>
      <c r="EO31" s="73"/>
      <c r="ER31" s="75"/>
      <c r="ES31" s="76"/>
      <c r="ET31" s="77"/>
      <c r="EU31" s="77"/>
      <c r="EV31" s="78"/>
      <c r="FA31" s="172"/>
      <c r="FB31" s="163"/>
      <c r="FC31" s="172"/>
      <c r="FH31" s="147"/>
      <c r="FL31" s="71"/>
      <c r="FM31" s="71"/>
      <c r="FN31" s="71"/>
      <c r="FO31" s="71"/>
      <c r="FP31" s="71"/>
      <c r="FQ31" s="71"/>
      <c r="FR31" s="71"/>
      <c r="FS31" s="147"/>
      <c r="FW31" s="71"/>
      <c r="FX31" s="71"/>
      <c r="FY31" s="71"/>
      <c r="FZ31" s="71"/>
      <c r="GA31" s="71"/>
      <c r="GB31" s="71"/>
      <c r="GC31" s="71"/>
      <c r="GD31" s="71"/>
      <c r="GE31" s="71"/>
      <c r="GF31" s="71"/>
      <c r="GG31" s="71"/>
      <c r="GH31" s="71"/>
      <c r="GI31" s="71"/>
      <c r="GJ31" s="71"/>
      <c r="GK31" s="71"/>
      <c r="GL31" s="71"/>
      <c r="GM31" s="71"/>
      <c r="GN31" s="71"/>
      <c r="GO31" s="71"/>
      <c r="GP31" s="71"/>
      <c r="GQ31" s="71"/>
      <c r="GR31" s="71"/>
      <c r="GS31" s="71"/>
      <c r="GT31" s="71"/>
      <c r="GU31" s="71"/>
      <c r="GV31" s="71"/>
      <c r="GW31" s="71"/>
      <c r="GX31" s="71"/>
      <c r="GY31" s="71"/>
      <c r="GZ31" s="71"/>
      <c r="HA31" s="71"/>
      <c r="HB31" s="71"/>
      <c r="HC31" s="71"/>
      <c r="HD31" s="71"/>
      <c r="HF31" s="173" t="s">
        <v>772</v>
      </c>
      <c r="HG31" s="72" t="s">
        <v>806</v>
      </c>
      <c r="KV31" s="72" t="s">
        <v>743</v>
      </c>
    </row>
    <row r="32" spans="1:332" ht="15.95" customHeight="1" x14ac:dyDescent="0.25">
      <c r="A32" s="71" t="s">
        <v>817</v>
      </c>
      <c r="B32" s="162"/>
      <c r="C32" s="162"/>
      <c r="D32" s="162">
        <v>1</v>
      </c>
      <c r="F32" s="71" t="str">
        <f>mehrsprachigkeitBegriffsrückgabe(gewählteSpracheZurückgeben(), "Variant")</f>
        <v>Variante</v>
      </c>
      <c r="G32" s="72" t="s">
        <v>818</v>
      </c>
      <c r="H32" s="72" t="s">
        <v>811</v>
      </c>
      <c r="I32" s="72" t="s">
        <v>86</v>
      </c>
      <c r="J32" s="72" t="s">
        <v>812</v>
      </c>
      <c r="K32" s="72" t="s">
        <v>819</v>
      </c>
      <c r="M32" s="150" t="s">
        <v>523</v>
      </c>
      <c r="N32" s="72" t="s">
        <v>527</v>
      </c>
      <c r="O32" s="72" t="s">
        <v>532</v>
      </c>
      <c r="P32" s="72" t="s">
        <v>727</v>
      </c>
      <c r="BA32" s="147"/>
      <c r="BB32" s="173"/>
      <c r="BF32" s="147"/>
      <c r="BG32" s="83"/>
      <c r="BH32" s="73"/>
      <c r="BI32" s="147"/>
      <c r="BJ32" s="77"/>
      <c r="BK32" s="73"/>
      <c r="BL32" s="73"/>
      <c r="BM32" s="77"/>
      <c r="BN32" s="73"/>
      <c r="BO32" s="73"/>
      <c r="BP32" s="147"/>
      <c r="BQ32" s="83"/>
      <c r="BR32" s="73"/>
      <c r="BS32" s="77"/>
      <c r="BT32" s="147"/>
      <c r="BU32" s="77"/>
      <c r="BV32" s="77"/>
      <c r="BW32" s="83"/>
      <c r="BX32" s="73"/>
      <c r="BY32" s="77"/>
      <c r="BZ32" s="73"/>
      <c r="CA32" s="73"/>
      <c r="CB32" s="77"/>
      <c r="CC32" s="73"/>
      <c r="CD32" s="73"/>
      <c r="CE32" s="83"/>
      <c r="CF32" s="73"/>
      <c r="CG32" s="77"/>
      <c r="CH32" s="147"/>
      <c r="CI32" s="77"/>
      <c r="CJ32" s="77"/>
      <c r="CK32" s="83"/>
      <c r="CL32" s="73"/>
      <c r="CM32" s="77"/>
      <c r="CN32" s="73"/>
      <c r="CO32" s="73"/>
      <c r="CP32" s="77"/>
      <c r="CQ32" s="73"/>
      <c r="CR32" s="73"/>
      <c r="CS32" s="83"/>
      <c r="CT32" s="73"/>
      <c r="CU32" s="77"/>
      <c r="CV32" s="147"/>
      <c r="CW32" s="77"/>
      <c r="CX32" s="77"/>
      <c r="CY32" s="83"/>
      <c r="CZ32" s="73"/>
      <c r="DA32" s="77"/>
      <c r="DB32" s="73"/>
      <c r="DC32" s="73"/>
      <c r="DD32" s="77"/>
      <c r="DE32" s="73"/>
      <c r="DF32" s="73"/>
      <c r="DG32" s="83"/>
      <c r="DH32" s="73"/>
      <c r="DI32" s="77"/>
      <c r="DJ32" s="147"/>
      <c r="DK32" s="77"/>
      <c r="DL32" s="77"/>
      <c r="DM32" s="83"/>
      <c r="DN32" s="73"/>
      <c r="DO32" s="77"/>
      <c r="DP32" s="73"/>
      <c r="DQ32" s="73"/>
      <c r="DR32" s="77"/>
      <c r="DS32" s="73"/>
      <c r="DT32" s="73"/>
      <c r="DU32" s="83"/>
      <c r="DV32" s="73"/>
      <c r="DW32" s="77"/>
      <c r="DX32" s="147"/>
      <c r="DY32" s="77"/>
      <c r="DZ32" s="77"/>
      <c r="EA32" s="83"/>
      <c r="EB32" s="73"/>
      <c r="EC32" s="77"/>
      <c r="ED32" s="73"/>
      <c r="EE32" s="73"/>
      <c r="EF32" s="77"/>
      <c r="EG32" s="73"/>
      <c r="EH32" s="73"/>
      <c r="EI32" s="83"/>
      <c r="EJ32" s="73"/>
      <c r="EK32" s="77"/>
      <c r="EL32" s="147"/>
      <c r="EN32" s="74"/>
      <c r="EO32" s="73"/>
      <c r="ER32" s="75"/>
      <c r="ES32" s="76"/>
      <c r="ET32" s="77"/>
      <c r="EU32" s="77"/>
      <c r="EV32" s="78"/>
      <c r="FA32" s="172"/>
      <c r="FB32" s="163"/>
      <c r="FC32" s="172"/>
      <c r="FH32" s="147"/>
      <c r="FL32" s="71"/>
      <c r="FM32" s="71"/>
      <c r="FN32" s="71"/>
      <c r="FO32" s="71"/>
      <c r="FP32" s="71"/>
      <c r="FQ32" s="71"/>
      <c r="FR32" s="71"/>
      <c r="FS32" s="147"/>
      <c r="FW32" s="71"/>
      <c r="FX32" s="71"/>
      <c r="FY32" s="71"/>
      <c r="FZ32" s="71"/>
      <c r="GA32" s="71"/>
      <c r="GB32" s="71"/>
      <c r="GC32" s="71"/>
      <c r="GD32" s="71"/>
      <c r="GE32" s="71"/>
      <c r="GF32" s="71"/>
      <c r="GG32" s="71"/>
      <c r="GH32" s="71"/>
      <c r="GI32" s="71"/>
      <c r="GJ32" s="71"/>
      <c r="GK32" s="71"/>
      <c r="GL32" s="71"/>
      <c r="GM32" s="71"/>
      <c r="GN32" s="71"/>
      <c r="GO32" s="71"/>
      <c r="GP32" s="71"/>
      <c r="GQ32" s="71"/>
      <c r="GR32" s="71"/>
      <c r="GS32" s="71"/>
      <c r="GT32" s="71"/>
      <c r="GU32" s="71"/>
      <c r="GV32" s="71"/>
      <c r="GW32" s="71"/>
      <c r="GX32" s="71"/>
      <c r="GY32" s="71"/>
      <c r="GZ32" s="71"/>
      <c r="HA32" s="71"/>
      <c r="HB32" s="71"/>
      <c r="HC32" s="71"/>
      <c r="HD32" s="71"/>
      <c r="HF32" s="173" t="s">
        <v>820</v>
      </c>
      <c r="HM32" s="83">
        <v>589</v>
      </c>
      <c r="HN32" s="73" t="str">
        <f>mehrsprachigkeitBegriffsrückgabe(gewählteSpracheZurückgeben(), "Independent price")</f>
        <v>Eigenständiger Preis</v>
      </c>
      <c r="KT32" s="74">
        <v>0</v>
      </c>
      <c r="KU32" s="73" t="str">
        <f>mehrsprachigkeitBegriffsrückgabe(gewählteSpracheZurückgeben(), "Percent")</f>
        <v>Prozentuale Anpassung</v>
      </c>
      <c r="KV32" s="72" t="s">
        <v>77</v>
      </c>
      <c r="KX32" s="75">
        <v>0</v>
      </c>
      <c r="LF32" s="72" t="s">
        <v>113</v>
      </c>
      <c r="LG32" s="72" t="s">
        <v>113</v>
      </c>
      <c r="LH32" s="72" t="s">
        <v>767</v>
      </c>
      <c r="LI32" s="72" t="s">
        <v>745</v>
      </c>
    </row>
    <row r="33" spans="1:321" ht="15.95" customHeight="1" x14ac:dyDescent="0.25">
      <c r="B33" s="162"/>
      <c r="C33" s="162"/>
      <c r="D33" s="162"/>
      <c r="F33" s="71" t="str">
        <f>mehrsprachigkeitBegriffsrückgabe(gewählteSpracheZurückgeben(), "Variant (foreign language)")</f>
        <v>Variante (Fremdsprache)</v>
      </c>
      <c r="H33" s="72" t="s">
        <v>818</v>
      </c>
      <c r="I33" s="72" t="s">
        <v>94</v>
      </c>
      <c r="J33" s="72" t="s">
        <v>815</v>
      </c>
      <c r="K33" s="72" t="s">
        <v>821</v>
      </c>
      <c r="BA33" s="147"/>
      <c r="BB33" s="173"/>
      <c r="BF33" s="147"/>
      <c r="BG33" s="83"/>
      <c r="BH33" s="73"/>
      <c r="BI33" s="147"/>
      <c r="BJ33" s="77"/>
      <c r="BK33" s="73"/>
      <c r="BL33" s="73"/>
      <c r="BM33" s="77"/>
      <c r="BN33" s="73"/>
      <c r="BO33" s="73"/>
      <c r="BP33" s="147"/>
      <c r="BQ33" s="83"/>
      <c r="BR33" s="73"/>
      <c r="BS33" s="77"/>
      <c r="BT33" s="147"/>
      <c r="BU33" s="77"/>
      <c r="BV33" s="77"/>
      <c r="BW33" s="83"/>
      <c r="BX33" s="73"/>
      <c r="BY33" s="77"/>
      <c r="BZ33" s="73"/>
      <c r="CA33" s="73"/>
      <c r="CB33" s="77"/>
      <c r="CC33" s="73"/>
      <c r="CD33" s="73"/>
      <c r="CE33" s="83"/>
      <c r="CF33" s="73"/>
      <c r="CG33" s="77"/>
      <c r="CH33" s="147"/>
      <c r="CI33" s="77"/>
      <c r="CJ33" s="77"/>
      <c r="CK33" s="83"/>
      <c r="CL33" s="73"/>
      <c r="CM33" s="77"/>
      <c r="CN33" s="73"/>
      <c r="CO33" s="73"/>
      <c r="CP33" s="77"/>
      <c r="CQ33" s="73"/>
      <c r="CR33" s="73"/>
      <c r="CS33" s="83"/>
      <c r="CT33" s="73"/>
      <c r="CU33" s="77"/>
      <c r="CV33" s="147"/>
      <c r="CW33" s="77"/>
      <c r="CX33" s="77"/>
      <c r="CY33" s="83"/>
      <c r="CZ33" s="73"/>
      <c r="DA33" s="77"/>
      <c r="DB33" s="73"/>
      <c r="DC33" s="73"/>
      <c r="DD33" s="77"/>
      <c r="DE33" s="73"/>
      <c r="DF33" s="73"/>
      <c r="DG33" s="83"/>
      <c r="DH33" s="73"/>
      <c r="DI33" s="77"/>
      <c r="DJ33" s="147"/>
      <c r="DK33" s="77"/>
      <c r="DL33" s="77"/>
      <c r="DM33" s="83"/>
      <c r="DN33" s="73"/>
      <c r="DO33" s="77"/>
      <c r="DP33" s="73"/>
      <c r="DQ33" s="73"/>
      <c r="DR33" s="77"/>
      <c r="DS33" s="73"/>
      <c r="DT33" s="73"/>
      <c r="DU33" s="83"/>
      <c r="DV33" s="73"/>
      <c r="DW33" s="77"/>
      <c r="DX33" s="147"/>
      <c r="DY33" s="77"/>
      <c r="DZ33" s="77"/>
      <c r="EA33" s="83"/>
      <c r="EB33" s="73"/>
      <c r="EC33" s="77"/>
      <c r="ED33" s="73"/>
      <c r="EE33" s="73"/>
      <c r="EF33" s="77"/>
      <c r="EG33" s="73"/>
      <c r="EH33" s="73"/>
      <c r="EI33" s="83"/>
      <c r="EJ33" s="73"/>
      <c r="EK33" s="77"/>
      <c r="EL33" s="147"/>
      <c r="EN33" s="74"/>
      <c r="EO33" s="73"/>
      <c r="ER33" s="75"/>
      <c r="ES33" s="76"/>
      <c r="ET33" s="77"/>
      <c r="EU33" s="77"/>
      <c r="EV33" s="78"/>
      <c r="FA33" s="172"/>
      <c r="FB33" s="163"/>
      <c r="FC33" s="172"/>
      <c r="FH33" s="147"/>
      <c r="FL33" s="71"/>
      <c r="FM33" s="71"/>
      <c r="FN33" s="71"/>
      <c r="FO33" s="71"/>
      <c r="FP33" s="71"/>
      <c r="FQ33" s="71"/>
      <c r="FR33" s="71"/>
      <c r="FS33" s="147"/>
      <c r="FW33" s="71"/>
      <c r="FX33" s="71"/>
      <c r="FY33" s="71"/>
      <c r="FZ33" s="71"/>
      <c r="GA33" s="71"/>
      <c r="GB33" s="71"/>
      <c r="GC33" s="71"/>
      <c r="GD33" s="71"/>
      <c r="GE33" s="71"/>
      <c r="GF33" s="71"/>
      <c r="GG33" s="71"/>
      <c r="GH33" s="71"/>
      <c r="GI33" s="71"/>
      <c r="GJ33" s="71"/>
      <c r="GK33" s="71"/>
      <c r="GL33" s="71"/>
      <c r="GM33" s="71"/>
      <c r="GN33" s="71"/>
      <c r="GO33" s="71"/>
      <c r="GP33" s="71"/>
      <c r="GQ33" s="71"/>
      <c r="GR33" s="71"/>
      <c r="GS33" s="71"/>
      <c r="GT33" s="71"/>
      <c r="GU33" s="71"/>
      <c r="GV33" s="71"/>
      <c r="GW33" s="71"/>
      <c r="GX33" s="71"/>
      <c r="GY33" s="71"/>
      <c r="GZ33" s="71"/>
      <c r="HA33" s="71"/>
      <c r="HB33" s="71"/>
      <c r="HC33" s="71"/>
      <c r="HD33" s="71"/>
      <c r="HF33" s="173" t="s">
        <v>822</v>
      </c>
      <c r="KV33" s="72" t="s">
        <v>743</v>
      </c>
    </row>
    <row r="34" spans="1:321" ht="15.95" customHeight="1" x14ac:dyDescent="0.25">
      <c r="A34" s="71">
        <v>256</v>
      </c>
      <c r="B34" s="162"/>
      <c r="C34" s="162"/>
      <c r="D34" s="162">
        <v>1</v>
      </c>
      <c r="F34" s="71" t="str">
        <f>mehrsprachigkeitBegriffsrückgabe(gewählteSpracheZurückgeben(), "Variant")</f>
        <v>Variante</v>
      </c>
      <c r="G34" s="72" t="s">
        <v>823</v>
      </c>
      <c r="H34" s="72" t="s">
        <v>811</v>
      </c>
      <c r="I34" s="72" t="s">
        <v>86</v>
      </c>
      <c r="J34" s="72" t="s">
        <v>812</v>
      </c>
      <c r="K34" s="72" t="s">
        <v>824</v>
      </c>
      <c r="M34" s="150" t="s">
        <v>523</v>
      </c>
      <c r="N34" s="72" t="s">
        <v>707</v>
      </c>
      <c r="O34" s="72" t="s">
        <v>532</v>
      </c>
      <c r="P34" s="72" t="s">
        <v>727</v>
      </c>
      <c r="BA34" s="147"/>
      <c r="BB34" s="173"/>
      <c r="BF34" s="147"/>
      <c r="BG34" s="83"/>
      <c r="BH34" s="73"/>
      <c r="BI34" s="147"/>
      <c r="BJ34" s="77"/>
      <c r="BK34" s="73"/>
      <c r="BL34" s="73"/>
      <c r="BM34" s="77"/>
      <c r="BN34" s="73"/>
      <c r="BO34" s="73"/>
      <c r="BP34" s="147"/>
      <c r="BQ34" s="83"/>
      <c r="BR34" s="73"/>
      <c r="BS34" s="77"/>
      <c r="BT34" s="147"/>
      <c r="BU34" s="77"/>
      <c r="BV34" s="77"/>
      <c r="BW34" s="83"/>
      <c r="BX34" s="73"/>
      <c r="BY34" s="77"/>
      <c r="BZ34" s="73"/>
      <c r="CA34" s="73"/>
      <c r="CB34" s="77"/>
      <c r="CC34" s="73"/>
      <c r="CD34" s="73"/>
      <c r="CE34" s="83"/>
      <c r="CF34" s="73"/>
      <c r="CG34" s="77"/>
      <c r="CH34" s="147"/>
      <c r="CI34" s="77"/>
      <c r="CJ34" s="77"/>
      <c r="CK34" s="83"/>
      <c r="CL34" s="73"/>
      <c r="CM34" s="77"/>
      <c r="CN34" s="73"/>
      <c r="CO34" s="73"/>
      <c r="CP34" s="77"/>
      <c r="CQ34" s="73"/>
      <c r="CR34" s="73"/>
      <c r="CS34" s="83"/>
      <c r="CT34" s="73"/>
      <c r="CU34" s="77"/>
      <c r="CV34" s="147"/>
      <c r="CW34" s="77"/>
      <c r="CX34" s="77"/>
      <c r="CY34" s="83"/>
      <c r="CZ34" s="73"/>
      <c r="DA34" s="77"/>
      <c r="DB34" s="73"/>
      <c r="DC34" s="73"/>
      <c r="DD34" s="77"/>
      <c r="DE34" s="73"/>
      <c r="DF34" s="73"/>
      <c r="DG34" s="83"/>
      <c r="DH34" s="73"/>
      <c r="DI34" s="77"/>
      <c r="DJ34" s="147"/>
      <c r="DK34" s="77"/>
      <c r="DL34" s="77"/>
      <c r="DM34" s="83"/>
      <c r="DN34" s="73"/>
      <c r="DO34" s="77"/>
      <c r="DP34" s="73"/>
      <c r="DQ34" s="73"/>
      <c r="DR34" s="77"/>
      <c r="DS34" s="73"/>
      <c r="DT34" s="73"/>
      <c r="DU34" s="83"/>
      <c r="DV34" s="73"/>
      <c r="DW34" s="77"/>
      <c r="DX34" s="147"/>
      <c r="DY34" s="77"/>
      <c r="DZ34" s="77"/>
      <c r="EA34" s="83"/>
      <c r="EB34" s="73"/>
      <c r="EC34" s="77"/>
      <c r="ED34" s="73"/>
      <c r="EE34" s="73"/>
      <c r="EF34" s="77"/>
      <c r="EG34" s="73"/>
      <c r="EH34" s="73"/>
      <c r="EI34" s="83"/>
      <c r="EJ34" s="73"/>
      <c r="EK34" s="77"/>
      <c r="EL34" s="147"/>
      <c r="EN34" s="74"/>
      <c r="EO34" s="73"/>
      <c r="ER34" s="75"/>
      <c r="ES34" s="76"/>
      <c r="ET34" s="77"/>
      <c r="EU34" s="77"/>
      <c r="EV34" s="78"/>
      <c r="FA34" s="172"/>
      <c r="FB34" s="163"/>
      <c r="FC34" s="172"/>
      <c r="FH34" s="147"/>
      <c r="FL34" s="71"/>
      <c r="FM34" s="71"/>
      <c r="FN34" s="71"/>
      <c r="FO34" s="71"/>
      <c r="FP34" s="71"/>
      <c r="FQ34" s="71"/>
      <c r="FR34" s="71"/>
      <c r="FS34" s="147"/>
      <c r="FW34" s="71"/>
      <c r="FX34" s="71"/>
      <c r="FY34" s="71"/>
      <c r="FZ34" s="71"/>
      <c r="GA34" s="71"/>
      <c r="GB34" s="71"/>
      <c r="GC34" s="71"/>
      <c r="GD34" s="71"/>
      <c r="GE34" s="71"/>
      <c r="GF34" s="71"/>
      <c r="GG34" s="71"/>
      <c r="GH34" s="71"/>
      <c r="GI34" s="71"/>
      <c r="GJ34" s="71"/>
      <c r="GK34" s="71"/>
      <c r="GL34" s="71"/>
      <c r="GM34" s="71"/>
      <c r="GN34" s="71"/>
      <c r="GO34" s="71"/>
      <c r="GP34" s="71"/>
      <c r="GQ34" s="71"/>
      <c r="GR34" s="71"/>
      <c r="GS34" s="71"/>
      <c r="GT34" s="71"/>
      <c r="GU34" s="71"/>
      <c r="GV34" s="71"/>
      <c r="GW34" s="71"/>
      <c r="GX34" s="71"/>
      <c r="GY34" s="71"/>
      <c r="GZ34" s="71"/>
      <c r="HA34" s="71"/>
      <c r="HB34" s="71"/>
      <c r="HC34" s="71"/>
      <c r="HD34" s="71"/>
      <c r="HF34" s="173" t="s">
        <v>820</v>
      </c>
      <c r="HM34" s="83">
        <v>589</v>
      </c>
      <c r="HN34" s="73" t="str">
        <f>mehrsprachigkeitBegriffsrückgabe(gewählteSpracheZurückgeben(), "Independent price")</f>
        <v>Eigenständiger Preis</v>
      </c>
      <c r="KT34" s="74">
        <v>0</v>
      </c>
      <c r="KU34" s="73" t="str">
        <f>mehrsprachigkeitBegriffsrückgabe(gewählteSpracheZurückgeben(), "Percent")</f>
        <v>Prozentuale Anpassung</v>
      </c>
      <c r="KV34" s="72" t="s">
        <v>77</v>
      </c>
      <c r="KX34" s="75">
        <v>0</v>
      </c>
      <c r="LF34" s="72" t="s">
        <v>113</v>
      </c>
      <c r="LG34" s="72" t="s">
        <v>113</v>
      </c>
      <c r="LH34" s="72" t="s">
        <v>767</v>
      </c>
      <c r="LI34" s="72" t="s">
        <v>745</v>
      </c>
    </row>
    <row r="35" spans="1:321" ht="15.95" customHeight="1" x14ac:dyDescent="0.25">
      <c r="B35" s="162"/>
      <c r="C35" s="162"/>
      <c r="D35" s="162"/>
      <c r="F35" s="71" t="str">
        <f>mehrsprachigkeitBegriffsrückgabe(gewählteSpracheZurückgeben(), "Variant (foreign language)")</f>
        <v>Variante (Fremdsprache)</v>
      </c>
      <c r="H35" s="72" t="s">
        <v>823</v>
      </c>
      <c r="I35" s="72" t="s">
        <v>94</v>
      </c>
      <c r="J35" s="72" t="s">
        <v>815</v>
      </c>
      <c r="K35" s="72" t="s">
        <v>825</v>
      </c>
      <c r="BA35" s="147"/>
      <c r="BB35" s="173"/>
      <c r="BF35" s="147"/>
      <c r="BG35" s="83"/>
      <c r="BH35" s="73"/>
      <c r="BI35" s="147"/>
      <c r="BJ35" s="77"/>
      <c r="BK35" s="73"/>
      <c r="BL35" s="73"/>
      <c r="BM35" s="77"/>
      <c r="BN35" s="73"/>
      <c r="BO35" s="73"/>
      <c r="BP35" s="147"/>
      <c r="BQ35" s="83"/>
      <c r="BR35" s="73"/>
      <c r="BS35" s="77"/>
      <c r="BT35" s="147"/>
      <c r="BU35" s="77"/>
      <c r="BV35" s="77"/>
      <c r="BW35" s="83"/>
      <c r="BX35" s="73"/>
      <c r="BY35" s="77"/>
      <c r="BZ35" s="73"/>
      <c r="CA35" s="73"/>
      <c r="CB35" s="77"/>
      <c r="CC35" s="73"/>
      <c r="CD35" s="73"/>
      <c r="CE35" s="83"/>
      <c r="CF35" s="73"/>
      <c r="CG35" s="77"/>
      <c r="CH35" s="147"/>
      <c r="CI35" s="77"/>
      <c r="CJ35" s="77"/>
      <c r="CK35" s="83"/>
      <c r="CL35" s="73"/>
      <c r="CM35" s="77"/>
      <c r="CN35" s="73"/>
      <c r="CO35" s="73"/>
      <c r="CP35" s="77"/>
      <c r="CQ35" s="73"/>
      <c r="CR35" s="73"/>
      <c r="CS35" s="83"/>
      <c r="CT35" s="73"/>
      <c r="CU35" s="77"/>
      <c r="CV35" s="147"/>
      <c r="CW35" s="77"/>
      <c r="CX35" s="77"/>
      <c r="CY35" s="83"/>
      <c r="CZ35" s="73"/>
      <c r="DA35" s="77"/>
      <c r="DB35" s="73"/>
      <c r="DC35" s="73"/>
      <c r="DD35" s="77"/>
      <c r="DE35" s="73"/>
      <c r="DF35" s="73"/>
      <c r="DG35" s="83"/>
      <c r="DH35" s="73"/>
      <c r="DI35" s="77"/>
      <c r="DJ35" s="147"/>
      <c r="DK35" s="77"/>
      <c r="DL35" s="77"/>
      <c r="DM35" s="83"/>
      <c r="DN35" s="73"/>
      <c r="DO35" s="77"/>
      <c r="DP35" s="73"/>
      <c r="DQ35" s="73"/>
      <c r="DR35" s="77"/>
      <c r="DS35" s="73"/>
      <c r="DT35" s="73"/>
      <c r="DU35" s="83"/>
      <c r="DV35" s="73"/>
      <c r="DW35" s="77"/>
      <c r="DX35" s="147"/>
      <c r="DY35" s="77"/>
      <c r="DZ35" s="77"/>
      <c r="EA35" s="83"/>
      <c r="EB35" s="73"/>
      <c r="EC35" s="77"/>
      <c r="ED35" s="73"/>
      <c r="EE35" s="73"/>
      <c r="EF35" s="77"/>
      <c r="EG35" s="73"/>
      <c r="EH35" s="73"/>
      <c r="EI35" s="83"/>
      <c r="EJ35" s="73"/>
      <c r="EK35" s="77"/>
      <c r="EL35" s="147"/>
      <c r="EN35" s="74"/>
      <c r="EO35" s="73"/>
      <c r="ER35" s="75"/>
      <c r="ES35" s="76"/>
      <c r="ET35" s="77"/>
      <c r="EU35" s="77"/>
      <c r="EV35" s="78"/>
      <c r="FA35" s="172"/>
      <c r="FB35" s="163"/>
      <c r="FC35" s="172"/>
      <c r="FH35" s="147"/>
      <c r="FL35" s="71"/>
      <c r="FM35" s="71"/>
      <c r="FN35" s="71"/>
      <c r="FO35" s="71"/>
      <c r="FP35" s="71"/>
      <c r="FQ35" s="71"/>
      <c r="FR35" s="71"/>
      <c r="FS35" s="147"/>
      <c r="FW35" s="71"/>
      <c r="FX35" s="71"/>
      <c r="FY35" s="71"/>
      <c r="FZ35" s="71"/>
      <c r="GA35" s="71"/>
      <c r="GB35" s="71"/>
      <c r="GC35" s="71"/>
      <c r="GD35" s="71"/>
      <c r="GE35" s="71"/>
      <c r="GF35" s="71"/>
      <c r="GG35" s="71"/>
      <c r="GH35" s="71"/>
      <c r="GI35" s="71"/>
      <c r="GJ35" s="71"/>
      <c r="GK35" s="71"/>
      <c r="GL35" s="71"/>
      <c r="GM35" s="71"/>
      <c r="GN35" s="71"/>
      <c r="GO35" s="71"/>
      <c r="GP35" s="71"/>
      <c r="GQ35" s="71"/>
      <c r="GR35" s="71"/>
      <c r="GS35" s="71"/>
      <c r="GT35" s="71"/>
      <c r="GU35" s="71"/>
      <c r="GV35" s="71"/>
      <c r="GW35" s="71"/>
      <c r="GX35" s="71"/>
      <c r="GY35" s="71"/>
      <c r="GZ35" s="71"/>
      <c r="HA35" s="71"/>
      <c r="HB35" s="71"/>
      <c r="HC35" s="71"/>
      <c r="HD35" s="71"/>
      <c r="HF35" s="173" t="s">
        <v>822</v>
      </c>
      <c r="KV35" s="72" t="s">
        <v>743</v>
      </c>
    </row>
    <row r="36" spans="1:321" ht="15.95" customHeight="1" x14ac:dyDescent="0.25">
      <c r="B36" s="162"/>
      <c r="C36" s="162"/>
      <c r="D36" s="162">
        <v>1</v>
      </c>
      <c r="F36" s="71" t="str">
        <f>mehrsprachigkeitBegriffsrückgabe(gewählteSpracheZurückgeben(), "Product")</f>
        <v>Produkt</v>
      </c>
      <c r="G36" s="72" t="s">
        <v>826</v>
      </c>
      <c r="I36" s="72" t="s">
        <v>86</v>
      </c>
      <c r="J36" s="72" t="s">
        <v>827</v>
      </c>
      <c r="K36" s="72" t="s">
        <v>828</v>
      </c>
      <c r="BA36" s="147"/>
      <c r="BB36" s="173"/>
      <c r="BF36" s="147"/>
      <c r="BG36" s="83"/>
      <c r="BH36" s="73"/>
      <c r="BI36" s="147"/>
      <c r="BJ36" s="77"/>
      <c r="BK36" s="73"/>
      <c r="BL36" s="73"/>
      <c r="BM36" s="77"/>
      <c r="BN36" s="73"/>
      <c r="BO36" s="73"/>
      <c r="BP36" s="147"/>
      <c r="BQ36" s="83"/>
      <c r="BR36" s="73"/>
      <c r="BS36" s="77"/>
      <c r="BT36" s="147"/>
      <c r="BU36" s="77"/>
      <c r="BV36" s="77"/>
      <c r="BW36" s="83"/>
      <c r="BX36" s="73"/>
      <c r="BY36" s="77"/>
      <c r="BZ36" s="73"/>
      <c r="CA36" s="73"/>
      <c r="CB36" s="77"/>
      <c r="CC36" s="73"/>
      <c r="CD36" s="73"/>
      <c r="CE36" s="83"/>
      <c r="CF36" s="73"/>
      <c r="CG36" s="77"/>
      <c r="CH36" s="147"/>
      <c r="CI36" s="77"/>
      <c r="CJ36" s="77"/>
      <c r="CK36" s="83"/>
      <c r="CL36" s="73"/>
      <c r="CM36" s="77"/>
      <c r="CN36" s="73"/>
      <c r="CO36" s="73"/>
      <c r="CP36" s="77"/>
      <c r="CQ36" s="73"/>
      <c r="CR36" s="73"/>
      <c r="CS36" s="83"/>
      <c r="CT36" s="73"/>
      <c r="CU36" s="77"/>
      <c r="CV36" s="147"/>
      <c r="CW36" s="77"/>
      <c r="CX36" s="77"/>
      <c r="CY36" s="83"/>
      <c r="CZ36" s="73"/>
      <c r="DA36" s="77"/>
      <c r="DB36" s="73"/>
      <c r="DC36" s="73"/>
      <c r="DD36" s="77"/>
      <c r="DE36" s="73"/>
      <c r="DF36" s="73"/>
      <c r="DG36" s="83"/>
      <c r="DH36" s="73"/>
      <c r="DI36" s="77"/>
      <c r="DJ36" s="147"/>
      <c r="DK36" s="77"/>
      <c r="DL36" s="77"/>
      <c r="DM36" s="83"/>
      <c r="DN36" s="73"/>
      <c r="DO36" s="77"/>
      <c r="DP36" s="73"/>
      <c r="DQ36" s="73"/>
      <c r="DR36" s="77"/>
      <c r="DS36" s="73"/>
      <c r="DT36" s="73"/>
      <c r="DU36" s="83"/>
      <c r="DV36" s="73"/>
      <c r="DW36" s="77"/>
      <c r="DX36" s="147"/>
      <c r="DY36" s="77"/>
      <c r="DZ36" s="77"/>
      <c r="EA36" s="83"/>
      <c r="EB36" s="73"/>
      <c r="EC36" s="77"/>
      <c r="ED36" s="73"/>
      <c r="EE36" s="73"/>
      <c r="EF36" s="77"/>
      <c r="EG36" s="73"/>
      <c r="EH36" s="73"/>
      <c r="EI36" s="83"/>
      <c r="EJ36" s="73"/>
      <c r="EK36" s="77"/>
      <c r="EL36" s="147"/>
      <c r="EN36" s="74"/>
      <c r="EO36" s="73"/>
      <c r="ER36" s="75"/>
      <c r="ES36" s="76"/>
      <c r="ET36" s="77"/>
      <c r="EU36" s="77"/>
      <c r="EV36" s="78"/>
      <c r="FA36" s="172"/>
      <c r="FB36" s="163"/>
      <c r="FC36" s="172"/>
      <c r="FH36" s="147"/>
      <c r="FL36" s="71"/>
      <c r="FM36" s="71"/>
      <c r="FN36" s="71"/>
      <c r="FO36" s="71"/>
      <c r="FP36" s="71"/>
      <c r="FQ36" s="71"/>
      <c r="FR36" s="71"/>
      <c r="FS36" s="147"/>
      <c r="FW36" s="71"/>
      <c r="FX36" s="71"/>
      <c r="FY36" s="71"/>
      <c r="FZ36" s="71"/>
      <c r="GA36" s="71"/>
      <c r="GB36" s="71"/>
      <c r="GC36" s="71"/>
      <c r="GD36" s="71"/>
      <c r="GE36" s="71"/>
      <c r="GF36" s="71"/>
      <c r="GG36" s="71"/>
      <c r="GH36" s="71"/>
      <c r="GI36" s="71"/>
      <c r="GJ36" s="71"/>
      <c r="GK36" s="71"/>
      <c r="GL36" s="71"/>
      <c r="GM36" s="71"/>
      <c r="GN36" s="71"/>
      <c r="GO36" s="71"/>
      <c r="GP36" s="71"/>
      <c r="GQ36" s="71"/>
      <c r="GR36" s="71"/>
      <c r="GS36" s="71"/>
      <c r="GT36" s="71"/>
      <c r="GU36" s="71"/>
      <c r="GV36" s="71"/>
      <c r="GW36" s="71"/>
      <c r="GX36" s="71"/>
      <c r="GY36" s="71"/>
      <c r="GZ36" s="71"/>
      <c r="HA36" s="71"/>
      <c r="HB36" s="71"/>
      <c r="HC36" s="71"/>
      <c r="HD36" s="71"/>
      <c r="HF36" s="173" t="s">
        <v>772</v>
      </c>
      <c r="HG36" s="72" t="s">
        <v>806</v>
      </c>
      <c r="HH36" s="72" t="s">
        <v>734</v>
      </c>
      <c r="HI36" s="72" t="s">
        <v>829</v>
      </c>
      <c r="HJ36" s="72" t="s">
        <v>916</v>
      </c>
      <c r="HK36" s="72" t="s">
        <v>915</v>
      </c>
      <c r="HM36" s="83">
        <v>402.52</v>
      </c>
      <c r="HW36" s="83">
        <v>436.97399999999999</v>
      </c>
      <c r="HY36" s="77">
        <v>1</v>
      </c>
      <c r="KS36" s="72" t="s">
        <v>115</v>
      </c>
      <c r="KT36" s="74">
        <v>0</v>
      </c>
      <c r="KV36" s="72" t="s">
        <v>77</v>
      </c>
      <c r="KX36" s="75">
        <v>0</v>
      </c>
      <c r="KY36" s="76">
        <v>0</v>
      </c>
      <c r="LF36" s="72" t="s">
        <v>113</v>
      </c>
      <c r="LG36" s="72" t="s">
        <v>113</v>
      </c>
      <c r="LH36" s="72" t="s">
        <v>767</v>
      </c>
      <c r="LI36" s="72" t="s">
        <v>744</v>
      </c>
    </row>
    <row r="37" spans="1:321" ht="15.95" customHeight="1" x14ac:dyDescent="0.25">
      <c r="B37" s="162"/>
      <c r="C37" s="162"/>
      <c r="D37" s="162"/>
      <c r="F37" s="71" t="str">
        <f>mehrsprachigkeitBegriffsrückgabe(gewählteSpracheZurückgeben(), "Product (foreign language)")</f>
        <v>Produkt (Fremdsprache)</v>
      </c>
      <c r="H37" s="72" t="s">
        <v>826</v>
      </c>
      <c r="I37" s="72" t="s">
        <v>94</v>
      </c>
      <c r="J37" s="72" t="s">
        <v>830</v>
      </c>
      <c r="K37" s="72" t="s">
        <v>831</v>
      </c>
      <c r="P37" s="72" t="s">
        <v>113</v>
      </c>
      <c r="BA37" s="147"/>
      <c r="BB37" s="173"/>
      <c r="BF37" s="147"/>
      <c r="BG37" s="83"/>
      <c r="BH37" s="73"/>
      <c r="BI37" s="147"/>
      <c r="BJ37" s="77"/>
      <c r="BK37" s="73"/>
      <c r="BL37" s="73"/>
      <c r="BM37" s="77"/>
      <c r="BN37" s="73"/>
      <c r="BO37" s="73"/>
      <c r="BP37" s="147"/>
      <c r="BQ37" s="83"/>
      <c r="BR37" s="73"/>
      <c r="BS37" s="77"/>
      <c r="BT37" s="147"/>
      <c r="BU37" s="77"/>
      <c r="BV37" s="77"/>
      <c r="BW37" s="83"/>
      <c r="BX37" s="73"/>
      <c r="BY37" s="77"/>
      <c r="BZ37" s="73"/>
      <c r="CA37" s="73"/>
      <c r="CB37" s="77"/>
      <c r="CC37" s="73"/>
      <c r="CD37" s="73"/>
      <c r="CE37" s="83"/>
      <c r="CF37" s="73"/>
      <c r="CG37" s="77"/>
      <c r="CH37" s="147"/>
      <c r="CI37" s="77"/>
      <c r="CJ37" s="77"/>
      <c r="CK37" s="83"/>
      <c r="CL37" s="73"/>
      <c r="CM37" s="77"/>
      <c r="CN37" s="73"/>
      <c r="CO37" s="73"/>
      <c r="CP37" s="77"/>
      <c r="CQ37" s="73"/>
      <c r="CR37" s="73"/>
      <c r="CS37" s="83"/>
      <c r="CT37" s="73"/>
      <c r="CU37" s="77"/>
      <c r="CV37" s="147"/>
      <c r="CW37" s="77"/>
      <c r="CX37" s="77"/>
      <c r="CY37" s="83"/>
      <c r="CZ37" s="73"/>
      <c r="DA37" s="77"/>
      <c r="DB37" s="73"/>
      <c r="DC37" s="73"/>
      <c r="DD37" s="77"/>
      <c r="DE37" s="73"/>
      <c r="DF37" s="73"/>
      <c r="DG37" s="83"/>
      <c r="DH37" s="73"/>
      <c r="DI37" s="77"/>
      <c r="DJ37" s="147"/>
      <c r="DK37" s="77"/>
      <c r="DL37" s="77"/>
      <c r="DM37" s="83"/>
      <c r="DN37" s="73"/>
      <c r="DO37" s="77"/>
      <c r="DP37" s="73"/>
      <c r="DQ37" s="73"/>
      <c r="DR37" s="77"/>
      <c r="DS37" s="73"/>
      <c r="DT37" s="73"/>
      <c r="DU37" s="83"/>
      <c r="DV37" s="73"/>
      <c r="DW37" s="77"/>
      <c r="DX37" s="147"/>
      <c r="DY37" s="77"/>
      <c r="DZ37" s="77"/>
      <c r="EA37" s="83"/>
      <c r="EB37" s="73"/>
      <c r="EC37" s="77"/>
      <c r="ED37" s="73"/>
      <c r="EE37" s="73"/>
      <c r="EF37" s="77"/>
      <c r="EG37" s="73"/>
      <c r="EH37" s="73"/>
      <c r="EI37" s="83"/>
      <c r="EJ37" s="73"/>
      <c r="EK37" s="77"/>
      <c r="EL37" s="147"/>
      <c r="EN37" s="74"/>
      <c r="EO37" s="73"/>
      <c r="ER37" s="75"/>
      <c r="ES37" s="76"/>
      <c r="ET37" s="77"/>
      <c r="EU37" s="77"/>
      <c r="EV37" s="78"/>
      <c r="FA37" s="172"/>
      <c r="FB37" s="163"/>
      <c r="FC37" s="172"/>
      <c r="FH37" s="147"/>
      <c r="FL37" s="71"/>
      <c r="FM37" s="71"/>
      <c r="FN37" s="71"/>
      <c r="FO37" s="71"/>
      <c r="FP37" s="71"/>
      <c r="FQ37" s="71"/>
      <c r="FR37" s="71"/>
      <c r="FS37" s="147"/>
      <c r="FW37" s="71"/>
      <c r="FX37" s="71"/>
      <c r="FY37" s="71"/>
      <c r="FZ37" s="71"/>
      <c r="GA37" s="71"/>
      <c r="GB37" s="71"/>
      <c r="GC37" s="71"/>
      <c r="GD37" s="71"/>
      <c r="GE37" s="71"/>
      <c r="GF37" s="71"/>
      <c r="GG37" s="71"/>
      <c r="GH37" s="71"/>
      <c r="GI37" s="71"/>
      <c r="GJ37" s="71"/>
      <c r="GK37" s="71"/>
      <c r="GL37" s="71"/>
      <c r="GM37" s="71"/>
      <c r="GN37" s="71"/>
      <c r="GO37" s="71"/>
      <c r="GP37" s="71"/>
      <c r="GQ37" s="71"/>
      <c r="GR37" s="71"/>
      <c r="GS37" s="71"/>
      <c r="GT37" s="71"/>
      <c r="GU37" s="71"/>
      <c r="GV37" s="71"/>
      <c r="GW37" s="71"/>
      <c r="GX37" s="71"/>
      <c r="GY37" s="71"/>
      <c r="GZ37" s="71"/>
      <c r="HA37" s="71"/>
      <c r="HB37" s="71"/>
      <c r="HC37" s="71"/>
      <c r="HD37" s="71"/>
      <c r="HF37" s="173" t="s">
        <v>772</v>
      </c>
      <c r="HG37" s="72" t="s">
        <v>806</v>
      </c>
      <c r="HJ37" s="72" t="s">
        <v>917</v>
      </c>
      <c r="HK37" s="72" t="s">
        <v>918</v>
      </c>
      <c r="KV37" s="72" t="s">
        <v>743</v>
      </c>
    </row>
    <row r="38" spans="1:321" ht="15.95" customHeight="1" x14ac:dyDescent="0.25">
      <c r="A38" s="71">
        <v>128</v>
      </c>
      <c r="B38" s="162"/>
      <c r="C38" s="162"/>
      <c r="D38" s="162">
        <v>1</v>
      </c>
      <c r="F38" s="71" t="str">
        <f>mehrsprachigkeitBegriffsrückgabe(gewählteSpracheZurückgeben(), "Variant")</f>
        <v>Variante</v>
      </c>
      <c r="G38" s="72" t="s">
        <v>832</v>
      </c>
      <c r="H38" s="72" t="s">
        <v>826</v>
      </c>
      <c r="I38" s="72" t="s">
        <v>86</v>
      </c>
      <c r="K38" s="72" t="s">
        <v>833</v>
      </c>
      <c r="M38" s="150" t="s">
        <v>700</v>
      </c>
      <c r="N38" s="72" t="s">
        <v>714</v>
      </c>
      <c r="O38" s="72" t="s">
        <v>699</v>
      </c>
      <c r="P38" s="72" t="s">
        <v>708</v>
      </c>
      <c r="Q38" s="72" t="s">
        <v>702</v>
      </c>
      <c r="R38" s="72" t="s">
        <v>733</v>
      </c>
      <c r="S38" s="72" t="s">
        <v>701</v>
      </c>
      <c r="T38" s="72" t="s">
        <v>721</v>
      </c>
      <c r="BA38" s="147"/>
      <c r="BB38" s="173"/>
      <c r="BF38" s="147"/>
      <c r="BG38" s="83"/>
      <c r="BH38" s="73"/>
      <c r="BI38" s="147"/>
      <c r="BJ38" s="77"/>
      <c r="BK38" s="73"/>
      <c r="BL38" s="73"/>
      <c r="BM38" s="77"/>
      <c r="BN38" s="73"/>
      <c r="BO38" s="73"/>
      <c r="BP38" s="147"/>
      <c r="BQ38" s="83"/>
      <c r="BR38" s="73"/>
      <c r="BS38" s="77"/>
      <c r="BT38" s="147"/>
      <c r="BU38" s="77"/>
      <c r="BV38" s="77"/>
      <c r="BW38" s="83"/>
      <c r="BX38" s="73"/>
      <c r="BY38" s="77"/>
      <c r="BZ38" s="73"/>
      <c r="CA38" s="73"/>
      <c r="CB38" s="77"/>
      <c r="CC38" s="73"/>
      <c r="CD38" s="73"/>
      <c r="CE38" s="83"/>
      <c r="CF38" s="73"/>
      <c r="CG38" s="77"/>
      <c r="CH38" s="147"/>
      <c r="CI38" s="77"/>
      <c r="CJ38" s="77"/>
      <c r="CK38" s="83"/>
      <c r="CL38" s="73"/>
      <c r="CM38" s="77"/>
      <c r="CN38" s="73"/>
      <c r="CO38" s="73"/>
      <c r="CP38" s="77"/>
      <c r="CQ38" s="73"/>
      <c r="CR38" s="73"/>
      <c r="CS38" s="83"/>
      <c r="CT38" s="73"/>
      <c r="CU38" s="77"/>
      <c r="CV38" s="147"/>
      <c r="CW38" s="77"/>
      <c r="CX38" s="77"/>
      <c r="CY38" s="83"/>
      <c r="CZ38" s="73"/>
      <c r="DA38" s="77"/>
      <c r="DB38" s="73"/>
      <c r="DC38" s="73"/>
      <c r="DD38" s="77"/>
      <c r="DE38" s="73"/>
      <c r="DF38" s="73"/>
      <c r="DG38" s="83"/>
      <c r="DH38" s="73"/>
      <c r="DI38" s="77"/>
      <c r="DJ38" s="147"/>
      <c r="DK38" s="77"/>
      <c r="DL38" s="77"/>
      <c r="DM38" s="83"/>
      <c r="DN38" s="73"/>
      <c r="DO38" s="77"/>
      <c r="DP38" s="73"/>
      <c r="DQ38" s="73"/>
      <c r="DR38" s="77"/>
      <c r="DS38" s="73"/>
      <c r="DT38" s="73"/>
      <c r="DU38" s="83"/>
      <c r="DV38" s="73"/>
      <c r="DW38" s="77"/>
      <c r="DX38" s="147"/>
      <c r="DY38" s="77"/>
      <c r="DZ38" s="77"/>
      <c r="EA38" s="83"/>
      <c r="EB38" s="73"/>
      <c r="EC38" s="77"/>
      <c r="ED38" s="73"/>
      <c r="EE38" s="73"/>
      <c r="EF38" s="77"/>
      <c r="EG38" s="73"/>
      <c r="EH38" s="73"/>
      <c r="EI38" s="83"/>
      <c r="EJ38" s="73"/>
      <c r="EK38" s="77"/>
      <c r="EL38" s="147"/>
      <c r="EN38" s="74"/>
      <c r="EO38" s="73"/>
      <c r="ER38" s="75"/>
      <c r="ES38" s="76"/>
      <c r="ET38" s="77"/>
      <c r="EU38" s="77"/>
      <c r="EV38" s="78"/>
      <c r="FA38" s="172"/>
      <c r="FB38" s="163"/>
      <c r="FC38" s="172"/>
      <c r="FH38" s="147"/>
      <c r="FL38" s="71"/>
      <c r="FM38" s="71"/>
      <c r="FN38" s="71"/>
      <c r="FO38" s="71"/>
      <c r="FP38" s="71"/>
      <c r="FQ38" s="71"/>
      <c r="FR38" s="71"/>
      <c r="FS38" s="147"/>
      <c r="FW38" s="71"/>
      <c r="FX38" s="71"/>
      <c r="FY38" s="71"/>
      <c r="FZ38" s="71"/>
      <c r="GA38" s="71"/>
      <c r="GB38" s="71"/>
      <c r="GC38" s="71"/>
      <c r="GD38" s="71"/>
      <c r="GE38" s="71"/>
      <c r="GF38" s="71"/>
      <c r="GG38" s="71"/>
      <c r="GH38" s="71"/>
      <c r="GI38" s="71"/>
      <c r="GJ38" s="71"/>
      <c r="GK38" s="71"/>
      <c r="GL38" s="71"/>
      <c r="GM38" s="71"/>
      <c r="GN38" s="71"/>
      <c r="GO38" s="71"/>
      <c r="GP38" s="71"/>
      <c r="GQ38" s="71"/>
      <c r="GR38" s="71"/>
      <c r="GS38" s="71"/>
      <c r="GT38" s="71"/>
      <c r="GU38" s="71"/>
      <c r="GV38" s="71"/>
      <c r="GW38" s="71"/>
      <c r="GX38" s="71"/>
      <c r="GY38" s="71"/>
      <c r="GZ38" s="71"/>
      <c r="HA38" s="71"/>
      <c r="HB38" s="71"/>
      <c r="HC38" s="71"/>
      <c r="HD38" s="71"/>
      <c r="HF38" s="173" t="s">
        <v>834</v>
      </c>
      <c r="HG38" s="72" t="s">
        <v>835</v>
      </c>
      <c r="HM38" s="83">
        <v>0</v>
      </c>
      <c r="HN38" s="73" t="str">
        <f>mehrsprachigkeitBegriffsrückgabe(gewählteSpracheZurückgeben(), "Fixed price")</f>
        <v>Anpassung mit fixem Preis</v>
      </c>
      <c r="HW38" s="83">
        <v>0</v>
      </c>
      <c r="HX38" s="73" t="str">
        <f>mehrsprachigkeitBegriffsrückgabe(gewählteSpracheZurückgeben(), "Fixed price")</f>
        <v>Anpassung mit fixem Preis</v>
      </c>
      <c r="HY38" s="77">
        <v>1</v>
      </c>
      <c r="KT38" s="74">
        <v>0</v>
      </c>
      <c r="KU38" s="73" t="str">
        <f>mehrsprachigkeitBegriffsrückgabe(gewählteSpracheZurückgeben(), "Percent")</f>
        <v>Prozentuale Anpassung</v>
      </c>
      <c r="KX38" s="75">
        <v>0</v>
      </c>
      <c r="LF38" s="72" t="s">
        <v>113</v>
      </c>
      <c r="LG38" s="72" t="s">
        <v>113</v>
      </c>
      <c r="LH38" s="72" t="s">
        <v>767</v>
      </c>
      <c r="LI38" s="72" t="s">
        <v>744</v>
      </c>
    </row>
    <row r="39" spans="1:321" ht="15.95" customHeight="1" x14ac:dyDescent="0.25">
      <c r="B39" s="162"/>
      <c r="C39" s="162"/>
      <c r="D39" s="162"/>
      <c r="F39" s="71" t="str">
        <f>mehrsprachigkeitBegriffsrückgabe(gewählteSpracheZurückgeben(), "Variant (foreign language)")</f>
        <v>Variante (Fremdsprache)</v>
      </c>
      <c r="H39" s="72" t="s">
        <v>832</v>
      </c>
      <c r="I39" s="72" t="s">
        <v>94</v>
      </c>
      <c r="BA39" s="147"/>
      <c r="BB39" s="173"/>
      <c r="BF39" s="147"/>
      <c r="BG39" s="83"/>
      <c r="BH39" s="73"/>
      <c r="BI39" s="147"/>
      <c r="BJ39" s="77"/>
      <c r="BK39" s="73"/>
      <c r="BL39" s="73"/>
      <c r="BM39" s="77"/>
      <c r="BN39" s="73"/>
      <c r="BO39" s="73"/>
      <c r="BP39" s="147"/>
      <c r="BQ39" s="83"/>
      <c r="BR39" s="73"/>
      <c r="BS39" s="77"/>
      <c r="BT39" s="147"/>
      <c r="BU39" s="77"/>
      <c r="BV39" s="77"/>
      <c r="BW39" s="83"/>
      <c r="BX39" s="73"/>
      <c r="BY39" s="77"/>
      <c r="BZ39" s="73"/>
      <c r="CA39" s="73"/>
      <c r="CB39" s="77"/>
      <c r="CC39" s="73"/>
      <c r="CD39" s="73"/>
      <c r="CE39" s="83"/>
      <c r="CF39" s="73"/>
      <c r="CG39" s="77"/>
      <c r="CH39" s="147"/>
      <c r="CI39" s="77"/>
      <c r="CJ39" s="77"/>
      <c r="CK39" s="83"/>
      <c r="CL39" s="73"/>
      <c r="CM39" s="77"/>
      <c r="CN39" s="73"/>
      <c r="CO39" s="73"/>
      <c r="CP39" s="77"/>
      <c r="CQ39" s="73"/>
      <c r="CR39" s="73"/>
      <c r="CS39" s="83"/>
      <c r="CT39" s="73"/>
      <c r="CU39" s="77"/>
      <c r="CV39" s="147"/>
      <c r="CW39" s="77"/>
      <c r="CX39" s="77"/>
      <c r="CY39" s="83"/>
      <c r="CZ39" s="73"/>
      <c r="DA39" s="77"/>
      <c r="DB39" s="73"/>
      <c r="DC39" s="73"/>
      <c r="DD39" s="77"/>
      <c r="DE39" s="73"/>
      <c r="DF39" s="73"/>
      <c r="DG39" s="83"/>
      <c r="DH39" s="73"/>
      <c r="DI39" s="77"/>
      <c r="DJ39" s="147"/>
      <c r="DK39" s="77"/>
      <c r="DL39" s="77"/>
      <c r="DM39" s="83"/>
      <c r="DN39" s="73"/>
      <c r="DO39" s="77"/>
      <c r="DP39" s="73"/>
      <c r="DQ39" s="73"/>
      <c r="DR39" s="77"/>
      <c r="DS39" s="73"/>
      <c r="DT39" s="73"/>
      <c r="DU39" s="83"/>
      <c r="DV39" s="73"/>
      <c r="DW39" s="77"/>
      <c r="DX39" s="147"/>
      <c r="DY39" s="77"/>
      <c r="DZ39" s="77"/>
      <c r="EA39" s="83"/>
      <c r="EB39" s="73"/>
      <c r="EC39" s="77"/>
      <c r="ED39" s="73"/>
      <c r="EE39" s="73"/>
      <c r="EF39" s="77"/>
      <c r="EG39" s="73"/>
      <c r="EH39" s="73"/>
      <c r="EI39" s="83"/>
      <c r="EJ39" s="73"/>
      <c r="EK39" s="77"/>
      <c r="EL39" s="147"/>
      <c r="EN39" s="74"/>
      <c r="EO39" s="73"/>
      <c r="ER39" s="75"/>
      <c r="ES39" s="76"/>
      <c r="ET39" s="77"/>
      <c r="EU39" s="77"/>
      <c r="EV39" s="78"/>
      <c r="FA39" s="172"/>
      <c r="FB39" s="163"/>
      <c r="FC39" s="172"/>
      <c r="FH39" s="147"/>
      <c r="FL39" s="71"/>
      <c r="FM39" s="71"/>
      <c r="FN39" s="71"/>
      <c r="FO39" s="71"/>
      <c r="FP39" s="71"/>
      <c r="FQ39" s="71"/>
      <c r="FR39" s="71"/>
      <c r="FS39" s="147"/>
      <c r="FW39" s="71"/>
      <c r="FX39" s="71"/>
      <c r="FY39" s="71"/>
      <c r="FZ39" s="71"/>
      <c r="GA39" s="71"/>
      <c r="GB39" s="71"/>
      <c r="GC39" s="71"/>
      <c r="GD39" s="71"/>
      <c r="GE39" s="71"/>
      <c r="GF39" s="71"/>
      <c r="GG39" s="71"/>
      <c r="GH39" s="71"/>
      <c r="GI39" s="71"/>
      <c r="GJ39" s="71"/>
      <c r="GK39" s="71"/>
      <c r="GL39" s="71"/>
      <c r="GM39" s="71"/>
      <c r="GN39" s="71"/>
      <c r="GO39" s="71"/>
      <c r="GP39" s="71"/>
      <c r="GQ39" s="71"/>
      <c r="GR39" s="71"/>
      <c r="GS39" s="71"/>
      <c r="GT39" s="71"/>
      <c r="GU39" s="71"/>
      <c r="GV39" s="71"/>
      <c r="GW39" s="71"/>
      <c r="GX39" s="71"/>
      <c r="GY39" s="71"/>
      <c r="GZ39" s="71"/>
      <c r="HA39" s="71"/>
      <c r="HB39" s="71"/>
      <c r="HC39" s="71"/>
      <c r="HD39" s="71"/>
      <c r="HF39" s="173"/>
    </row>
    <row r="40" spans="1:321" ht="15.95" customHeight="1" x14ac:dyDescent="0.25">
      <c r="A40" s="71">
        <v>256</v>
      </c>
      <c r="B40" s="162"/>
      <c r="C40" s="162"/>
      <c r="D40" s="162">
        <v>1</v>
      </c>
      <c r="F40" s="71" t="str">
        <f>mehrsprachigkeitBegriffsrückgabe(gewählteSpracheZurückgeben(), "Variant")</f>
        <v>Variante</v>
      </c>
      <c r="G40" s="72" t="s">
        <v>836</v>
      </c>
      <c r="H40" s="72" t="s">
        <v>826</v>
      </c>
      <c r="I40" s="72" t="s">
        <v>86</v>
      </c>
      <c r="K40" s="72" t="s">
        <v>837</v>
      </c>
      <c r="M40" s="150" t="s">
        <v>700</v>
      </c>
      <c r="N40" s="72" t="s">
        <v>713</v>
      </c>
      <c r="O40" s="72" t="s">
        <v>699</v>
      </c>
      <c r="P40" s="72" t="s">
        <v>524</v>
      </c>
      <c r="Q40" s="72" t="s">
        <v>702</v>
      </c>
      <c r="R40" s="72" t="s">
        <v>733</v>
      </c>
      <c r="S40" s="72" t="s">
        <v>701</v>
      </c>
      <c r="T40" s="72" t="s">
        <v>721</v>
      </c>
      <c r="BA40" s="147"/>
      <c r="BB40" s="173"/>
      <c r="BF40" s="147"/>
      <c r="BG40" s="83"/>
      <c r="BH40" s="73"/>
      <c r="BI40" s="147"/>
      <c r="BJ40" s="77"/>
      <c r="BK40" s="73"/>
      <c r="BL40" s="73"/>
      <c r="BM40" s="77"/>
      <c r="BN40" s="73"/>
      <c r="BO40" s="73"/>
      <c r="BP40" s="147"/>
      <c r="BQ40" s="83"/>
      <c r="BR40" s="73"/>
      <c r="BS40" s="77"/>
      <c r="BT40" s="147"/>
      <c r="BU40" s="77"/>
      <c r="BV40" s="77"/>
      <c r="BW40" s="83"/>
      <c r="BX40" s="73"/>
      <c r="BY40" s="77"/>
      <c r="BZ40" s="73"/>
      <c r="CA40" s="73"/>
      <c r="CB40" s="77"/>
      <c r="CC40" s="73"/>
      <c r="CD40" s="73"/>
      <c r="CE40" s="83"/>
      <c r="CF40" s="73"/>
      <c r="CG40" s="77"/>
      <c r="CH40" s="147"/>
      <c r="CI40" s="77"/>
      <c r="CJ40" s="77"/>
      <c r="CK40" s="83"/>
      <c r="CL40" s="73"/>
      <c r="CM40" s="77"/>
      <c r="CN40" s="73"/>
      <c r="CO40" s="73"/>
      <c r="CP40" s="77"/>
      <c r="CQ40" s="73"/>
      <c r="CR40" s="73"/>
      <c r="CS40" s="83"/>
      <c r="CT40" s="73"/>
      <c r="CU40" s="77"/>
      <c r="CV40" s="147"/>
      <c r="CW40" s="77"/>
      <c r="CX40" s="77"/>
      <c r="CY40" s="83"/>
      <c r="CZ40" s="73"/>
      <c r="DA40" s="77"/>
      <c r="DB40" s="73"/>
      <c r="DC40" s="73"/>
      <c r="DD40" s="77"/>
      <c r="DE40" s="73"/>
      <c r="DF40" s="73"/>
      <c r="DG40" s="83"/>
      <c r="DH40" s="73"/>
      <c r="DI40" s="77"/>
      <c r="DJ40" s="147"/>
      <c r="DK40" s="77"/>
      <c r="DL40" s="77"/>
      <c r="DM40" s="83"/>
      <c r="DN40" s="73"/>
      <c r="DO40" s="77"/>
      <c r="DP40" s="73"/>
      <c r="DQ40" s="73"/>
      <c r="DR40" s="77"/>
      <c r="DS40" s="73"/>
      <c r="DT40" s="73"/>
      <c r="DU40" s="83"/>
      <c r="DV40" s="73"/>
      <c r="DW40" s="77"/>
      <c r="DX40" s="147"/>
      <c r="DY40" s="77"/>
      <c r="DZ40" s="77"/>
      <c r="EA40" s="83"/>
      <c r="EB40" s="73"/>
      <c r="EC40" s="77"/>
      <c r="ED40" s="73"/>
      <c r="EE40" s="73"/>
      <c r="EF40" s="77"/>
      <c r="EG40" s="73"/>
      <c r="EH40" s="73"/>
      <c r="EI40" s="83"/>
      <c r="EJ40" s="73"/>
      <c r="EK40" s="77"/>
      <c r="EL40" s="147"/>
      <c r="EN40" s="74"/>
      <c r="EO40" s="73"/>
      <c r="ER40" s="75"/>
      <c r="ES40" s="76"/>
      <c r="ET40" s="77"/>
      <c r="EU40" s="77"/>
      <c r="EV40" s="78"/>
      <c r="FA40" s="172"/>
      <c r="FB40" s="163"/>
      <c r="FC40" s="172"/>
      <c r="FH40" s="147"/>
      <c r="FL40" s="71"/>
      <c r="FM40" s="71"/>
      <c r="FN40" s="71"/>
      <c r="FO40" s="71"/>
      <c r="FP40" s="71"/>
      <c r="FQ40" s="71"/>
      <c r="FR40" s="71"/>
      <c r="FS40" s="147"/>
      <c r="FW40" s="71"/>
      <c r="FX40" s="71"/>
      <c r="FY40" s="71"/>
      <c r="FZ40" s="71"/>
      <c r="GA40" s="71"/>
      <c r="GB40" s="71"/>
      <c r="GC40" s="71"/>
      <c r="GD40" s="71"/>
      <c r="GE40" s="71"/>
      <c r="GF40" s="71"/>
      <c r="GG40" s="71"/>
      <c r="GH40" s="71"/>
      <c r="GI40" s="71"/>
      <c r="GJ40" s="71"/>
      <c r="GK40" s="71"/>
      <c r="GL40" s="71"/>
      <c r="GM40" s="71"/>
      <c r="GN40" s="71"/>
      <c r="GO40" s="71"/>
      <c r="GP40" s="71"/>
      <c r="GQ40" s="71"/>
      <c r="GR40" s="71"/>
      <c r="GS40" s="71"/>
      <c r="GT40" s="71"/>
      <c r="GU40" s="71"/>
      <c r="GV40" s="71"/>
      <c r="GW40" s="71"/>
      <c r="GX40" s="71"/>
      <c r="GY40" s="71"/>
      <c r="GZ40" s="71"/>
      <c r="HA40" s="71"/>
      <c r="HB40" s="71"/>
      <c r="HC40" s="71"/>
      <c r="HD40" s="71"/>
      <c r="HF40" s="173"/>
      <c r="HM40" s="83">
        <v>0</v>
      </c>
      <c r="HN40" s="73" t="str">
        <f>mehrsprachigkeitBegriffsrückgabe(gewählteSpracheZurückgeben(), "Fixed price")</f>
        <v>Anpassung mit fixem Preis</v>
      </c>
      <c r="HW40" s="83">
        <v>0</v>
      </c>
      <c r="HX40" s="73" t="str">
        <f>mehrsprachigkeitBegriffsrückgabe(gewählteSpracheZurückgeben(), "Fixed price")</f>
        <v>Anpassung mit fixem Preis</v>
      </c>
      <c r="HY40" s="77">
        <v>1</v>
      </c>
      <c r="KT40" s="74">
        <v>0</v>
      </c>
      <c r="KU40" s="73" t="str">
        <f>mehrsprachigkeitBegriffsrückgabe(gewählteSpracheZurückgeben(), "Percent")</f>
        <v>Prozentuale Anpassung</v>
      </c>
      <c r="KX40" s="75">
        <v>0</v>
      </c>
      <c r="LF40" s="72" t="s">
        <v>113</v>
      </c>
      <c r="LG40" s="72" t="s">
        <v>113</v>
      </c>
      <c r="LH40" s="72" t="s">
        <v>767</v>
      </c>
      <c r="LI40" s="72" t="s">
        <v>744</v>
      </c>
    </row>
    <row r="41" spans="1:321" ht="15.95" customHeight="1" x14ac:dyDescent="0.25">
      <c r="B41" s="162"/>
      <c r="C41" s="162"/>
      <c r="D41" s="162"/>
      <c r="F41" s="71" t="str">
        <f>mehrsprachigkeitBegriffsrückgabe(gewählteSpracheZurückgeben(), "Variant (foreign language)")</f>
        <v>Variante (Fremdsprache)</v>
      </c>
      <c r="H41" s="72" t="s">
        <v>836</v>
      </c>
      <c r="I41" s="72" t="s">
        <v>94</v>
      </c>
      <c r="BA41" s="147"/>
      <c r="BB41" s="173"/>
      <c r="BF41" s="147"/>
      <c r="BG41" s="83"/>
      <c r="BH41" s="73"/>
      <c r="BI41" s="147"/>
      <c r="BJ41" s="77"/>
      <c r="BK41" s="73"/>
      <c r="BL41" s="73"/>
      <c r="BM41" s="77"/>
      <c r="BN41" s="73"/>
      <c r="BO41" s="73"/>
      <c r="BP41" s="147"/>
      <c r="BQ41" s="83"/>
      <c r="BR41" s="73"/>
      <c r="BS41" s="77"/>
      <c r="BT41" s="147"/>
      <c r="BU41" s="77"/>
      <c r="BV41" s="77"/>
      <c r="BW41" s="83"/>
      <c r="BX41" s="73"/>
      <c r="BY41" s="77"/>
      <c r="BZ41" s="73"/>
      <c r="CA41" s="73"/>
      <c r="CB41" s="77"/>
      <c r="CC41" s="73"/>
      <c r="CD41" s="73"/>
      <c r="CE41" s="83"/>
      <c r="CF41" s="73"/>
      <c r="CG41" s="77"/>
      <c r="CH41" s="147"/>
      <c r="CI41" s="77"/>
      <c r="CJ41" s="77"/>
      <c r="CK41" s="83"/>
      <c r="CL41" s="73"/>
      <c r="CM41" s="77"/>
      <c r="CN41" s="73"/>
      <c r="CO41" s="73"/>
      <c r="CP41" s="77"/>
      <c r="CQ41" s="73"/>
      <c r="CR41" s="73"/>
      <c r="CS41" s="83"/>
      <c r="CT41" s="73"/>
      <c r="CU41" s="77"/>
      <c r="CV41" s="147"/>
      <c r="CW41" s="77"/>
      <c r="CX41" s="77"/>
      <c r="CY41" s="83"/>
      <c r="CZ41" s="73"/>
      <c r="DA41" s="77"/>
      <c r="DB41" s="73"/>
      <c r="DC41" s="73"/>
      <c r="DD41" s="77"/>
      <c r="DE41" s="73"/>
      <c r="DF41" s="73"/>
      <c r="DG41" s="83"/>
      <c r="DH41" s="73"/>
      <c r="DI41" s="77"/>
      <c r="DJ41" s="147"/>
      <c r="DK41" s="77"/>
      <c r="DL41" s="77"/>
      <c r="DM41" s="83"/>
      <c r="DN41" s="73"/>
      <c r="DO41" s="77"/>
      <c r="DP41" s="73"/>
      <c r="DQ41" s="73"/>
      <c r="DR41" s="77"/>
      <c r="DS41" s="73"/>
      <c r="DT41" s="73"/>
      <c r="DU41" s="83"/>
      <c r="DV41" s="73"/>
      <c r="DW41" s="77"/>
      <c r="DX41" s="147"/>
      <c r="DY41" s="77"/>
      <c r="DZ41" s="77"/>
      <c r="EA41" s="83"/>
      <c r="EB41" s="73"/>
      <c r="EC41" s="77"/>
      <c r="ED41" s="73"/>
      <c r="EE41" s="73"/>
      <c r="EF41" s="77"/>
      <c r="EG41" s="73"/>
      <c r="EH41" s="73"/>
      <c r="EI41" s="83"/>
      <c r="EJ41" s="73"/>
      <c r="EK41" s="77"/>
      <c r="EL41" s="147"/>
      <c r="EN41" s="74"/>
      <c r="EO41" s="73"/>
      <c r="ER41" s="75"/>
      <c r="ES41" s="76"/>
      <c r="ET41" s="77"/>
      <c r="EU41" s="77"/>
      <c r="EV41" s="78"/>
      <c r="FA41" s="172"/>
      <c r="FB41" s="163"/>
      <c r="FC41" s="172"/>
      <c r="FH41" s="147"/>
      <c r="FL41" s="71"/>
      <c r="FM41" s="71"/>
      <c r="FN41" s="71"/>
      <c r="FO41" s="71"/>
      <c r="FP41" s="71"/>
      <c r="FQ41" s="71"/>
      <c r="FR41" s="71"/>
      <c r="FS41" s="147"/>
      <c r="FW41" s="71"/>
      <c r="FX41" s="71"/>
      <c r="FY41" s="71"/>
      <c r="FZ41" s="71"/>
      <c r="GA41" s="71"/>
      <c r="GB41" s="71"/>
      <c r="GC41" s="71"/>
      <c r="GD41" s="71"/>
      <c r="GE41" s="71"/>
      <c r="GF41" s="71"/>
      <c r="GG41" s="71"/>
      <c r="GH41" s="71"/>
      <c r="GI41" s="71"/>
      <c r="GJ41" s="71"/>
      <c r="GK41" s="71"/>
      <c r="GL41" s="71"/>
      <c r="GM41" s="71"/>
      <c r="GN41" s="71"/>
      <c r="GO41" s="71"/>
      <c r="GP41" s="71"/>
      <c r="GQ41" s="71"/>
      <c r="GR41" s="71"/>
      <c r="GS41" s="71"/>
      <c r="GT41" s="71"/>
      <c r="GU41" s="71"/>
      <c r="GV41" s="71"/>
      <c r="GW41" s="71"/>
      <c r="GX41" s="71"/>
      <c r="GY41" s="71"/>
      <c r="GZ41" s="71"/>
      <c r="HA41" s="71"/>
      <c r="HB41" s="71"/>
      <c r="HC41" s="71"/>
      <c r="HD41" s="71"/>
      <c r="HF41" s="173"/>
    </row>
    <row r="42" spans="1:321" ht="15.95" customHeight="1" x14ac:dyDescent="0.25">
      <c r="A42" s="71">
        <v>384</v>
      </c>
      <c r="B42" s="162"/>
      <c r="C42" s="162"/>
      <c r="D42" s="162"/>
      <c r="F42" s="71" t="str">
        <f>mehrsprachigkeitBegriffsrückgabe(gewählteSpracheZurückgeben(), "Variant")</f>
        <v>Variante</v>
      </c>
      <c r="G42" s="72" t="s">
        <v>838</v>
      </c>
      <c r="H42" s="72" t="s">
        <v>826</v>
      </c>
      <c r="I42" s="72" t="s">
        <v>86</v>
      </c>
      <c r="K42" s="72" t="s">
        <v>839</v>
      </c>
      <c r="M42" s="150" t="s">
        <v>700</v>
      </c>
      <c r="N42" s="72" t="s">
        <v>715</v>
      </c>
      <c r="O42" s="72" t="s">
        <v>699</v>
      </c>
      <c r="P42" s="72" t="s">
        <v>709</v>
      </c>
      <c r="Q42" s="72" t="s">
        <v>702</v>
      </c>
      <c r="R42" s="72" t="s">
        <v>733</v>
      </c>
      <c r="S42" s="72" t="s">
        <v>701</v>
      </c>
      <c r="T42" s="72" t="s">
        <v>721</v>
      </c>
      <c r="BA42" s="147"/>
      <c r="BB42" s="173"/>
      <c r="BF42" s="147"/>
      <c r="BG42" s="83"/>
      <c r="BH42" s="73"/>
      <c r="BI42" s="147"/>
      <c r="BJ42" s="77"/>
      <c r="BK42" s="73"/>
      <c r="BL42" s="73"/>
      <c r="BM42" s="77"/>
      <c r="BN42" s="73"/>
      <c r="BO42" s="73"/>
      <c r="BP42" s="147"/>
      <c r="BQ42" s="83"/>
      <c r="BR42" s="73"/>
      <c r="BS42" s="77"/>
      <c r="BT42" s="147"/>
      <c r="BU42" s="77"/>
      <c r="BV42" s="77"/>
      <c r="BW42" s="83"/>
      <c r="BX42" s="73"/>
      <c r="BY42" s="77"/>
      <c r="BZ42" s="73"/>
      <c r="CA42" s="73"/>
      <c r="CB42" s="77"/>
      <c r="CC42" s="73"/>
      <c r="CD42" s="73"/>
      <c r="CE42" s="83"/>
      <c r="CF42" s="73"/>
      <c r="CG42" s="77"/>
      <c r="CH42" s="147"/>
      <c r="CI42" s="77"/>
      <c r="CJ42" s="77"/>
      <c r="CK42" s="83"/>
      <c r="CL42" s="73"/>
      <c r="CM42" s="77"/>
      <c r="CN42" s="73"/>
      <c r="CO42" s="73"/>
      <c r="CP42" s="77"/>
      <c r="CQ42" s="73"/>
      <c r="CR42" s="73"/>
      <c r="CS42" s="83"/>
      <c r="CT42" s="73"/>
      <c r="CU42" s="77"/>
      <c r="CV42" s="147"/>
      <c r="CW42" s="77"/>
      <c r="CX42" s="77"/>
      <c r="CY42" s="83"/>
      <c r="CZ42" s="73"/>
      <c r="DA42" s="77"/>
      <c r="DB42" s="73"/>
      <c r="DC42" s="73"/>
      <c r="DD42" s="77"/>
      <c r="DE42" s="73"/>
      <c r="DF42" s="73"/>
      <c r="DG42" s="83"/>
      <c r="DH42" s="73"/>
      <c r="DI42" s="77"/>
      <c r="DJ42" s="147"/>
      <c r="DK42" s="77"/>
      <c r="DL42" s="77"/>
      <c r="DM42" s="83"/>
      <c r="DN42" s="73"/>
      <c r="DO42" s="77"/>
      <c r="DP42" s="73"/>
      <c r="DQ42" s="73"/>
      <c r="DR42" s="77"/>
      <c r="DS42" s="73"/>
      <c r="DT42" s="73"/>
      <c r="DU42" s="83"/>
      <c r="DV42" s="73"/>
      <c r="DW42" s="77"/>
      <c r="DX42" s="147"/>
      <c r="DY42" s="77"/>
      <c r="DZ42" s="77"/>
      <c r="EA42" s="83"/>
      <c r="EB42" s="73"/>
      <c r="EC42" s="77"/>
      <c r="ED42" s="73"/>
      <c r="EE42" s="73"/>
      <c r="EF42" s="77"/>
      <c r="EG42" s="73"/>
      <c r="EH42" s="73"/>
      <c r="EI42" s="83"/>
      <c r="EJ42" s="73"/>
      <c r="EK42" s="77"/>
      <c r="EL42" s="147"/>
      <c r="EN42" s="74"/>
      <c r="EO42" s="73"/>
      <c r="ER42" s="75"/>
      <c r="ES42" s="76"/>
      <c r="ET42" s="77"/>
      <c r="EU42" s="77"/>
      <c r="EV42" s="78"/>
      <c r="FA42" s="172"/>
      <c r="FB42" s="163"/>
      <c r="FC42" s="172"/>
      <c r="FH42" s="147"/>
      <c r="FL42" s="71"/>
      <c r="FM42" s="71"/>
      <c r="FN42" s="71"/>
      <c r="FO42" s="71"/>
      <c r="FP42" s="71"/>
      <c r="FQ42" s="71"/>
      <c r="FR42" s="71"/>
      <c r="FS42" s="147"/>
      <c r="FW42" s="71"/>
      <c r="FX42" s="71"/>
      <c r="FY42" s="71"/>
      <c r="FZ42" s="71"/>
      <c r="GA42" s="71"/>
      <c r="GB42" s="71"/>
      <c r="GC42" s="71"/>
      <c r="GD42" s="71"/>
      <c r="GE42" s="71"/>
      <c r="GF42" s="71"/>
      <c r="GG42" s="71"/>
      <c r="GH42" s="71"/>
      <c r="GI42" s="71"/>
      <c r="GJ42" s="71"/>
      <c r="GK42" s="71"/>
      <c r="GL42" s="71"/>
      <c r="GM42" s="71"/>
      <c r="GN42" s="71"/>
      <c r="GO42" s="71"/>
      <c r="GP42" s="71"/>
      <c r="GQ42" s="71"/>
      <c r="GR42" s="71"/>
      <c r="GS42" s="71"/>
      <c r="GT42" s="71"/>
      <c r="GU42" s="71"/>
      <c r="GV42" s="71"/>
      <c r="GW42" s="71"/>
      <c r="GX42" s="71"/>
      <c r="GY42" s="71"/>
      <c r="GZ42" s="71"/>
      <c r="HA42" s="71"/>
      <c r="HB42" s="71"/>
      <c r="HC42" s="71"/>
      <c r="HD42" s="71"/>
      <c r="HF42" s="173"/>
      <c r="HM42" s="83">
        <v>0</v>
      </c>
      <c r="HN42" s="73" t="str">
        <f>mehrsprachigkeitBegriffsrückgabe(gewählteSpracheZurückgeben(), "Fixed price")</f>
        <v>Anpassung mit fixem Preis</v>
      </c>
      <c r="HW42" s="83">
        <v>0</v>
      </c>
      <c r="HX42" s="73" t="str">
        <f>mehrsprachigkeitBegriffsrückgabe(gewählteSpracheZurückgeben(), "Fixed price")</f>
        <v>Anpassung mit fixem Preis</v>
      </c>
      <c r="HY42" s="77">
        <v>1</v>
      </c>
      <c r="KT42" s="74">
        <v>0</v>
      </c>
      <c r="KU42" s="73" t="str">
        <f>mehrsprachigkeitBegriffsrückgabe(gewählteSpracheZurückgeben(), "Percent")</f>
        <v>Prozentuale Anpassung</v>
      </c>
      <c r="KX42" s="75">
        <v>0</v>
      </c>
      <c r="LF42" s="72" t="s">
        <v>113</v>
      </c>
      <c r="LG42" s="72" t="s">
        <v>113</v>
      </c>
      <c r="LH42" s="72" t="s">
        <v>767</v>
      </c>
      <c r="LI42" s="72" t="s">
        <v>744</v>
      </c>
    </row>
    <row r="43" spans="1:321" ht="15.95" customHeight="1" x14ac:dyDescent="0.25">
      <c r="B43" s="162"/>
      <c r="C43" s="162"/>
      <c r="D43" s="162"/>
      <c r="F43" s="71" t="str">
        <f>mehrsprachigkeitBegriffsrückgabe(gewählteSpracheZurückgeben(), "Variant (foreign language)")</f>
        <v>Variante (Fremdsprache)</v>
      </c>
      <c r="H43" s="72" t="s">
        <v>838</v>
      </c>
      <c r="I43" s="72" t="s">
        <v>94</v>
      </c>
      <c r="BA43" s="147"/>
      <c r="BB43" s="173"/>
      <c r="BF43" s="147"/>
      <c r="BG43" s="83"/>
      <c r="BH43" s="73"/>
      <c r="BI43" s="147"/>
      <c r="BJ43" s="77"/>
      <c r="BK43" s="73"/>
      <c r="BL43" s="73"/>
      <c r="BM43" s="77"/>
      <c r="BN43" s="73"/>
      <c r="BO43" s="73"/>
      <c r="BP43" s="147"/>
      <c r="BQ43" s="83"/>
      <c r="BR43" s="73"/>
      <c r="BS43" s="77"/>
      <c r="BT43" s="147"/>
      <c r="BU43" s="77"/>
      <c r="BV43" s="77"/>
      <c r="BW43" s="83"/>
      <c r="BX43" s="73"/>
      <c r="BY43" s="77"/>
      <c r="BZ43" s="73"/>
      <c r="CA43" s="73"/>
      <c r="CB43" s="77"/>
      <c r="CC43" s="73"/>
      <c r="CD43" s="73"/>
      <c r="CE43" s="83"/>
      <c r="CF43" s="73"/>
      <c r="CG43" s="77"/>
      <c r="CH43" s="147"/>
      <c r="CI43" s="77"/>
      <c r="CJ43" s="77"/>
      <c r="CK43" s="83"/>
      <c r="CL43" s="73"/>
      <c r="CM43" s="77"/>
      <c r="CN43" s="73"/>
      <c r="CO43" s="73"/>
      <c r="CP43" s="77"/>
      <c r="CQ43" s="73"/>
      <c r="CR43" s="73"/>
      <c r="CS43" s="83"/>
      <c r="CT43" s="73"/>
      <c r="CU43" s="77"/>
      <c r="CV43" s="147"/>
      <c r="CW43" s="77"/>
      <c r="CX43" s="77"/>
      <c r="CY43" s="83"/>
      <c r="CZ43" s="73"/>
      <c r="DA43" s="77"/>
      <c r="DB43" s="73"/>
      <c r="DC43" s="73"/>
      <c r="DD43" s="77"/>
      <c r="DE43" s="73"/>
      <c r="DF43" s="73"/>
      <c r="DG43" s="83"/>
      <c r="DH43" s="73"/>
      <c r="DI43" s="77"/>
      <c r="DJ43" s="147"/>
      <c r="DK43" s="77"/>
      <c r="DL43" s="77"/>
      <c r="DM43" s="83"/>
      <c r="DN43" s="73"/>
      <c r="DO43" s="77"/>
      <c r="DP43" s="73"/>
      <c r="DQ43" s="73"/>
      <c r="DR43" s="77"/>
      <c r="DS43" s="73"/>
      <c r="DT43" s="73"/>
      <c r="DU43" s="83"/>
      <c r="DV43" s="73"/>
      <c r="DW43" s="77"/>
      <c r="DX43" s="147"/>
      <c r="DY43" s="77"/>
      <c r="DZ43" s="77"/>
      <c r="EA43" s="83"/>
      <c r="EB43" s="73"/>
      <c r="EC43" s="77"/>
      <c r="ED43" s="73"/>
      <c r="EE43" s="73"/>
      <c r="EF43" s="77"/>
      <c r="EG43" s="73"/>
      <c r="EH43" s="73"/>
      <c r="EI43" s="83"/>
      <c r="EJ43" s="73"/>
      <c r="EK43" s="77"/>
      <c r="EL43" s="147"/>
      <c r="EN43" s="74"/>
      <c r="EO43" s="73"/>
      <c r="ER43" s="75"/>
      <c r="ES43" s="76"/>
      <c r="ET43" s="77"/>
      <c r="EU43" s="77"/>
      <c r="EV43" s="78"/>
      <c r="FA43" s="172"/>
      <c r="FB43" s="163"/>
      <c r="FC43" s="172"/>
      <c r="FH43" s="147"/>
      <c r="FL43" s="71"/>
      <c r="FM43" s="71"/>
      <c r="FN43" s="71"/>
      <c r="FO43" s="71"/>
      <c r="FP43" s="71"/>
      <c r="FQ43" s="71"/>
      <c r="FR43" s="71"/>
      <c r="FS43" s="147"/>
      <c r="FW43" s="71"/>
      <c r="FX43" s="71"/>
      <c r="FY43" s="71"/>
      <c r="FZ43" s="71"/>
      <c r="GA43" s="71"/>
      <c r="GB43" s="71"/>
      <c r="GC43" s="71"/>
      <c r="GD43" s="71"/>
      <c r="GE43" s="71"/>
      <c r="GF43" s="71"/>
      <c r="GG43" s="71"/>
      <c r="GH43" s="71"/>
      <c r="GI43" s="71"/>
      <c r="GJ43" s="71"/>
      <c r="GK43" s="71"/>
      <c r="GL43" s="71"/>
      <c r="GM43" s="71"/>
      <c r="GN43" s="71"/>
      <c r="GO43" s="71"/>
      <c r="GP43" s="71"/>
      <c r="GQ43" s="71"/>
      <c r="GR43" s="71"/>
      <c r="GS43" s="71"/>
      <c r="GT43" s="71"/>
      <c r="GU43" s="71"/>
      <c r="GV43" s="71"/>
      <c r="GW43" s="71"/>
      <c r="GX43" s="71"/>
      <c r="GY43" s="71"/>
      <c r="GZ43" s="71"/>
      <c r="HA43" s="71"/>
      <c r="HB43" s="71"/>
      <c r="HC43" s="71"/>
      <c r="HD43" s="71"/>
      <c r="HF43" s="173"/>
    </row>
    <row r="44" spans="1:321" ht="15.95" customHeight="1" x14ac:dyDescent="0.25">
      <c r="A44" s="71">
        <v>512</v>
      </c>
      <c r="B44" s="162"/>
      <c r="C44" s="162"/>
      <c r="D44" s="162">
        <v>1</v>
      </c>
      <c r="F44" s="71" t="str">
        <f>mehrsprachigkeitBegriffsrückgabe(gewählteSpracheZurückgeben(), "Variant")</f>
        <v>Variante</v>
      </c>
      <c r="G44" s="72" t="s">
        <v>840</v>
      </c>
      <c r="H44" s="72" t="s">
        <v>826</v>
      </c>
      <c r="I44" s="72" t="s">
        <v>86</v>
      </c>
      <c r="K44" s="72" t="s">
        <v>841</v>
      </c>
      <c r="M44" s="150" t="s">
        <v>700</v>
      </c>
      <c r="N44" s="72" t="s">
        <v>719</v>
      </c>
      <c r="O44" s="72" t="s">
        <v>699</v>
      </c>
      <c r="P44" s="72" t="s">
        <v>711</v>
      </c>
      <c r="Q44" s="72" t="s">
        <v>702</v>
      </c>
      <c r="R44" s="72" t="s">
        <v>733</v>
      </c>
      <c r="S44" s="72" t="s">
        <v>701</v>
      </c>
      <c r="T44" s="72" t="s">
        <v>721</v>
      </c>
      <c r="BA44" s="147"/>
      <c r="BB44" s="173"/>
      <c r="BF44" s="147"/>
      <c r="BG44" s="83"/>
      <c r="BH44" s="73"/>
      <c r="BI44" s="147"/>
      <c r="BJ44" s="77"/>
      <c r="BK44" s="73"/>
      <c r="BL44" s="73"/>
      <c r="BM44" s="77"/>
      <c r="BN44" s="73"/>
      <c r="BO44" s="73"/>
      <c r="BP44" s="147"/>
      <c r="BQ44" s="83"/>
      <c r="BR44" s="73"/>
      <c r="BS44" s="77"/>
      <c r="BT44" s="147"/>
      <c r="BU44" s="77"/>
      <c r="BV44" s="77"/>
      <c r="BW44" s="83"/>
      <c r="BX44" s="73"/>
      <c r="BY44" s="77"/>
      <c r="BZ44" s="73"/>
      <c r="CA44" s="73"/>
      <c r="CB44" s="77"/>
      <c r="CC44" s="73"/>
      <c r="CD44" s="73"/>
      <c r="CE44" s="83"/>
      <c r="CF44" s="73"/>
      <c r="CG44" s="77"/>
      <c r="CH44" s="147"/>
      <c r="CI44" s="77"/>
      <c r="CJ44" s="77"/>
      <c r="CK44" s="83"/>
      <c r="CL44" s="73"/>
      <c r="CM44" s="77"/>
      <c r="CN44" s="73"/>
      <c r="CO44" s="73"/>
      <c r="CP44" s="77"/>
      <c r="CQ44" s="73"/>
      <c r="CR44" s="73"/>
      <c r="CS44" s="83"/>
      <c r="CT44" s="73"/>
      <c r="CU44" s="77"/>
      <c r="CV44" s="147"/>
      <c r="CW44" s="77"/>
      <c r="CX44" s="77"/>
      <c r="CY44" s="83"/>
      <c r="CZ44" s="73"/>
      <c r="DA44" s="77"/>
      <c r="DB44" s="73"/>
      <c r="DC44" s="73"/>
      <c r="DD44" s="77"/>
      <c r="DE44" s="73"/>
      <c r="DF44" s="73"/>
      <c r="DG44" s="83"/>
      <c r="DH44" s="73"/>
      <c r="DI44" s="77"/>
      <c r="DJ44" s="147"/>
      <c r="DK44" s="77"/>
      <c r="DL44" s="77"/>
      <c r="DM44" s="83"/>
      <c r="DN44" s="73"/>
      <c r="DO44" s="77"/>
      <c r="DP44" s="73"/>
      <c r="DQ44" s="73"/>
      <c r="DR44" s="77"/>
      <c r="DS44" s="73"/>
      <c r="DT44" s="73"/>
      <c r="DU44" s="83"/>
      <c r="DV44" s="73"/>
      <c r="DW44" s="77"/>
      <c r="DX44" s="147"/>
      <c r="DY44" s="77"/>
      <c r="DZ44" s="77"/>
      <c r="EA44" s="83"/>
      <c r="EB44" s="73"/>
      <c r="EC44" s="77"/>
      <c r="ED44" s="73"/>
      <c r="EE44" s="73"/>
      <c r="EF44" s="77"/>
      <c r="EG44" s="73"/>
      <c r="EH44" s="73"/>
      <c r="EI44" s="83"/>
      <c r="EJ44" s="73"/>
      <c r="EK44" s="77"/>
      <c r="EL44" s="147"/>
      <c r="EN44" s="74"/>
      <c r="EO44" s="73"/>
      <c r="ER44" s="75"/>
      <c r="ES44" s="76"/>
      <c r="ET44" s="77"/>
      <c r="EU44" s="77"/>
      <c r="EV44" s="78"/>
      <c r="FA44" s="172"/>
      <c r="FB44" s="163"/>
      <c r="FC44" s="172"/>
      <c r="FH44" s="147"/>
      <c r="FL44" s="71"/>
      <c r="FM44" s="71"/>
      <c r="FN44" s="71"/>
      <c r="FO44" s="71"/>
      <c r="FP44" s="71"/>
      <c r="FQ44" s="71"/>
      <c r="FR44" s="71"/>
      <c r="FS44" s="147"/>
      <c r="FW44" s="71"/>
      <c r="FX44" s="71"/>
      <c r="FY44" s="71"/>
      <c r="FZ44" s="71"/>
      <c r="GA44" s="71"/>
      <c r="GB44" s="71"/>
      <c r="GC44" s="71"/>
      <c r="GD44" s="71"/>
      <c r="GE44" s="71"/>
      <c r="GF44" s="71"/>
      <c r="GG44" s="71"/>
      <c r="GH44" s="71"/>
      <c r="GI44" s="71"/>
      <c r="GJ44" s="71"/>
      <c r="GK44" s="71"/>
      <c r="GL44" s="71"/>
      <c r="GM44" s="71"/>
      <c r="GN44" s="71"/>
      <c r="GO44" s="71"/>
      <c r="GP44" s="71"/>
      <c r="GQ44" s="71"/>
      <c r="GR44" s="71"/>
      <c r="GS44" s="71"/>
      <c r="GT44" s="71"/>
      <c r="GU44" s="71"/>
      <c r="GV44" s="71"/>
      <c r="GW44" s="71"/>
      <c r="GX44" s="71"/>
      <c r="GY44" s="71"/>
      <c r="GZ44" s="71"/>
      <c r="HA44" s="71"/>
      <c r="HB44" s="71"/>
      <c r="HC44" s="71"/>
      <c r="HD44" s="71"/>
      <c r="HF44" s="173"/>
      <c r="HM44" s="83">
        <v>0</v>
      </c>
      <c r="HN44" s="73" t="str">
        <f>mehrsprachigkeitBegriffsrückgabe(gewählteSpracheZurückgeben(), "Fixed price")</f>
        <v>Anpassung mit fixem Preis</v>
      </c>
      <c r="HW44" s="83">
        <v>0</v>
      </c>
      <c r="HX44" s="73" t="str">
        <f>mehrsprachigkeitBegriffsrückgabe(gewählteSpracheZurückgeben(), "Fixed price")</f>
        <v>Anpassung mit fixem Preis</v>
      </c>
      <c r="HY44" s="77">
        <v>1</v>
      </c>
      <c r="KT44" s="74">
        <v>0</v>
      </c>
      <c r="KU44" s="73" t="str">
        <f>mehrsprachigkeitBegriffsrückgabe(gewählteSpracheZurückgeben(), "Percent")</f>
        <v>Prozentuale Anpassung</v>
      </c>
      <c r="KX44" s="75">
        <v>0</v>
      </c>
      <c r="LF44" s="72" t="s">
        <v>113</v>
      </c>
      <c r="LG44" s="72" t="s">
        <v>113</v>
      </c>
      <c r="LH44" s="72" t="s">
        <v>767</v>
      </c>
      <c r="LI44" s="72" t="s">
        <v>744</v>
      </c>
    </row>
    <row r="45" spans="1:321" ht="15.95" customHeight="1" x14ac:dyDescent="0.25">
      <c r="B45" s="162"/>
      <c r="C45" s="162"/>
      <c r="D45" s="162"/>
      <c r="F45" s="71" t="str">
        <f>mehrsprachigkeitBegriffsrückgabe(gewählteSpracheZurückgeben(), "Variant (foreign language)")</f>
        <v>Variante (Fremdsprache)</v>
      </c>
      <c r="H45" s="72" t="s">
        <v>840</v>
      </c>
      <c r="I45" s="72" t="s">
        <v>94</v>
      </c>
      <c r="BA45" s="147"/>
      <c r="BB45" s="173"/>
      <c r="BF45" s="147"/>
      <c r="BG45" s="83"/>
      <c r="BH45" s="73"/>
      <c r="BI45" s="147"/>
      <c r="BJ45" s="77"/>
      <c r="BK45" s="73"/>
      <c r="BL45" s="73"/>
      <c r="BM45" s="77"/>
      <c r="BN45" s="73"/>
      <c r="BO45" s="73"/>
      <c r="BP45" s="147"/>
      <c r="BQ45" s="83"/>
      <c r="BR45" s="73"/>
      <c r="BS45" s="77"/>
      <c r="BT45" s="147"/>
      <c r="BU45" s="77"/>
      <c r="BV45" s="77"/>
      <c r="BW45" s="83"/>
      <c r="BX45" s="73"/>
      <c r="BY45" s="77"/>
      <c r="BZ45" s="73"/>
      <c r="CA45" s="73"/>
      <c r="CB45" s="77"/>
      <c r="CC45" s="73"/>
      <c r="CD45" s="73"/>
      <c r="CE45" s="83"/>
      <c r="CF45" s="73"/>
      <c r="CG45" s="77"/>
      <c r="CH45" s="147"/>
      <c r="CI45" s="77"/>
      <c r="CJ45" s="77"/>
      <c r="CK45" s="83"/>
      <c r="CL45" s="73"/>
      <c r="CM45" s="77"/>
      <c r="CN45" s="73"/>
      <c r="CO45" s="73"/>
      <c r="CP45" s="77"/>
      <c r="CQ45" s="73"/>
      <c r="CR45" s="73"/>
      <c r="CS45" s="83"/>
      <c r="CT45" s="73"/>
      <c r="CU45" s="77"/>
      <c r="CV45" s="147"/>
      <c r="CW45" s="77"/>
      <c r="CX45" s="77"/>
      <c r="CY45" s="83"/>
      <c r="CZ45" s="73"/>
      <c r="DA45" s="77"/>
      <c r="DB45" s="73"/>
      <c r="DC45" s="73"/>
      <c r="DD45" s="77"/>
      <c r="DE45" s="73"/>
      <c r="DF45" s="73"/>
      <c r="DG45" s="83"/>
      <c r="DH45" s="73"/>
      <c r="DI45" s="77"/>
      <c r="DJ45" s="147"/>
      <c r="DK45" s="77"/>
      <c r="DL45" s="77"/>
      <c r="DM45" s="83"/>
      <c r="DN45" s="73"/>
      <c r="DO45" s="77"/>
      <c r="DP45" s="73"/>
      <c r="DQ45" s="73"/>
      <c r="DR45" s="77"/>
      <c r="DS45" s="73"/>
      <c r="DT45" s="73"/>
      <c r="DU45" s="83"/>
      <c r="DV45" s="73"/>
      <c r="DW45" s="77"/>
      <c r="DX45" s="147"/>
      <c r="DY45" s="77"/>
      <c r="DZ45" s="77"/>
      <c r="EA45" s="83"/>
      <c r="EB45" s="73"/>
      <c r="EC45" s="77"/>
      <c r="ED45" s="73"/>
      <c r="EE45" s="73"/>
      <c r="EF45" s="77"/>
      <c r="EG45" s="73"/>
      <c r="EH45" s="73"/>
      <c r="EI45" s="83"/>
      <c r="EJ45" s="73"/>
      <c r="EK45" s="77"/>
      <c r="EL45" s="147"/>
      <c r="EN45" s="74"/>
      <c r="EO45" s="73"/>
      <c r="ER45" s="75"/>
      <c r="ES45" s="76"/>
      <c r="ET45" s="77"/>
      <c r="EU45" s="77"/>
      <c r="EV45" s="78"/>
      <c r="FA45" s="172"/>
      <c r="FB45" s="163"/>
      <c r="FC45" s="172"/>
      <c r="FH45" s="147"/>
      <c r="FL45" s="71"/>
      <c r="FM45" s="71"/>
      <c r="FN45" s="71"/>
      <c r="FO45" s="71"/>
      <c r="FP45" s="71"/>
      <c r="FQ45" s="71"/>
      <c r="FR45" s="71"/>
      <c r="FS45" s="147"/>
      <c r="FW45" s="71"/>
      <c r="FX45" s="71"/>
      <c r="FY45" s="71"/>
      <c r="FZ45" s="71"/>
      <c r="GA45" s="71"/>
      <c r="GB45" s="71"/>
      <c r="GC45" s="71"/>
      <c r="GD45" s="71"/>
      <c r="GE45" s="71"/>
      <c r="GF45" s="71"/>
      <c r="GG45" s="71"/>
      <c r="GH45" s="71"/>
      <c r="GI45" s="71"/>
      <c r="GJ45" s="71"/>
      <c r="GK45" s="71"/>
      <c r="GL45" s="71"/>
      <c r="GM45" s="71"/>
      <c r="GN45" s="71"/>
      <c r="GO45" s="71"/>
      <c r="GP45" s="71"/>
      <c r="GQ45" s="71"/>
      <c r="GR45" s="71"/>
      <c r="GS45" s="71"/>
      <c r="GT45" s="71"/>
      <c r="GU45" s="71"/>
      <c r="GV45" s="71"/>
      <c r="GW45" s="71"/>
      <c r="GX45" s="71"/>
      <c r="GY45" s="71"/>
      <c r="GZ45" s="71"/>
      <c r="HA45" s="71"/>
      <c r="HB45" s="71"/>
      <c r="HC45" s="71"/>
      <c r="HD45" s="71"/>
      <c r="HF45" s="173"/>
    </row>
    <row r="46" spans="1:321" ht="15.95" customHeight="1" x14ac:dyDescent="0.25">
      <c r="A46" s="71">
        <v>640</v>
      </c>
      <c r="B46" s="162"/>
      <c r="C46" s="162"/>
      <c r="D46" s="162"/>
      <c r="F46" s="71" t="str">
        <f>mehrsprachigkeitBegriffsrückgabe(gewählteSpracheZurückgeben(), "Variant")</f>
        <v>Variante</v>
      </c>
      <c r="G46" s="72" t="s">
        <v>842</v>
      </c>
      <c r="H46" s="72" t="s">
        <v>826</v>
      </c>
      <c r="I46" s="72" t="s">
        <v>86</v>
      </c>
      <c r="K46" s="72" t="s">
        <v>843</v>
      </c>
      <c r="M46" s="150" t="s">
        <v>700</v>
      </c>
      <c r="N46" s="72" t="s">
        <v>720</v>
      </c>
      <c r="O46" s="72" t="s">
        <v>699</v>
      </c>
      <c r="P46" s="72" t="s">
        <v>712</v>
      </c>
      <c r="Q46" s="72" t="s">
        <v>702</v>
      </c>
      <c r="R46" s="72" t="s">
        <v>733</v>
      </c>
      <c r="S46" s="72" t="s">
        <v>701</v>
      </c>
      <c r="T46" s="72" t="s">
        <v>721</v>
      </c>
      <c r="BA46" s="147"/>
      <c r="BF46" s="147"/>
      <c r="BG46" s="83"/>
      <c r="BH46" s="73"/>
      <c r="BI46" s="147"/>
      <c r="BJ46" s="77"/>
      <c r="BK46" s="73"/>
      <c r="BL46" s="73"/>
      <c r="BM46" s="77"/>
      <c r="BN46" s="73"/>
      <c r="BO46" s="73"/>
      <c r="BP46" s="147"/>
      <c r="BQ46" s="83"/>
      <c r="BR46" s="73"/>
      <c r="BS46" s="77"/>
      <c r="BT46" s="147"/>
      <c r="BU46" s="77"/>
      <c r="BV46" s="77"/>
      <c r="BW46" s="83"/>
      <c r="BX46" s="73"/>
      <c r="BY46" s="77"/>
      <c r="BZ46" s="73"/>
      <c r="CA46" s="73"/>
      <c r="CB46" s="77"/>
      <c r="CC46" s="73"/>
      <c r="CD46" s="73"/>
      <c r="CE46" s="83"/>
      <c r="CF46" s="73"/>
      <c r="CG46" s="77"/>
      <c r="CH46" s="147"/>
      <c r="CI46" s="77"/>
      <c r="CJ46" s="77"/>
      <c r="CK46" s="83"/>
      <c r="CL46" s="73"/>
      <c r="CM46" s="77"/>
      <c r="CN46" s="73"/>
      <c r="CO46" s="73"/>
      <c r="CP46" s="77"/>
      <c r="CQ46" s="73"/>
      <c r="CR46" s="73"/>
      <c r="CS46" s="83"/>
      <c r="CT46" s="73"/>
      <c r="CU46" s="77"/>
      <c r="CV46" s="147"/>
      <c r="CW46" s="77"/>
      <c r="CX46" s="77"/>
      <c r="CY46" s="83"/>
      <c r="CZ46" s="73"/>
      <c r="DA46" s="77"/>
      <c r="DB46" s="73"/>
      <c r="DC46" s="73"/>
      <c r="DD46" s="77"/>
      <c r="DE46" s="73"/>
      <c r="DF46" s="73"/>
      <c r="DG46" s="83"/>
      <c r="DH46" s="73"/>
      <c r="DI46" s="77"/>
      <c r="DJ46" s="147"/>
      <c r="DK46" s="77"/>
      <c r="DL46" s="77"/>
      <c r="DM46" s="83"/>
      <c r="DN46" s="73"/>
      <c r="DO46" s="77"/>
      <c r="DP46" s="73"/>
      <c r="DQ46" s="73"/>
      <c r="DR46" s="77"/>
      <c r="DS46" s="73"/>
      <c r="DT46" s="73"/>
      <c r="DU46" s="83"/>
      <c r="DV46" s="73"/>
      <c r="DW46" s="77"/>
      <c r="DX46" s="147"/>
      <c r="DY46" s="77"/>
      <c r="DZ46" s="77"/>
      <c r="EA46" s="83"/>
      <c r="EB46" s="73"/>
      <c r="EC46" s="77"/>
      <c r="ED46" s="73"/>
      <c r="EE46" s="73"/>
      <c r="EF46" s="77"/>
      <c r="EG46" s="73"/>
      <c r="EH46" s="73"/>
      <c r="EI46" s="83"/>
      <c r="EJ46" s="73"/>
      <c r="EK46" s="77"/>
      <c r="EL46" s="147"/>
      <c r="EN46" s="74"/>
      <c r="EO46" s="73"/>
      <c r="ER46" s="75"/>
      <c r="ES46" s="76"/>
      <c r="ET46" s="77"/>
      <c r="EU46" s="77"/>
      <c r="EV46" s="78"/>
      <c r="FA46" s="172"/>
      <c r="FB46" s="163"/>
      <c r="FC46" s="172"/>
      <c r="FH46" s="147"/>
      <c r="FL46" s="71"/>
      <c r="FM46" s="71"/>
      <c r="FN46" s="71"/>
      <c r="FO46" s="71"/>
      <c r="FP46" s="71"/>
      <c r="FQ46" s="71"/>
      <c r="FR46" s="71"/>
      <c r="FS46" s="147"/>
      <c r="FW46" s="71"/>
      <c r="FX46" s="71"/>
      <c r="FY46" s="71"/>
      <c r="FZ46" s="71"/>
      <c r="GA46" s="71"/>
      <c r="GB46" s="71"/>
      <c r="GC46" s="71"/>
      <c r="GD46" s="71"/>
      <c r="GE46" s="71"/>
      <c r="GF46" s="71"/>
      <c r="GG46" s="71"/>
      <c r="GH46" s="71"/>
      <c r="GI46" s="71"/>
      <c r="GJ46" s="71"/>
      <c r="GK46" s="71"/>
      <c r="GL46" s="71"/>
      <c r="GM46" s="71"/>
      <c r="GN46" s="71"/>
      <c r="GO46" s="71"/>
      <c r="GP46" s="71"/>
      <c r="GQ46" s="71"/>
      <c r="GR46" s="71"/>
      <c r="GS46" s="71"/>
      <c r="GT46" s="71"/>
      <c r="GU46" s="71"/>
      <c r="GV46" s="71"/>
      <c r="GW46" s="71"/>
      <c r="GX46" s="71"/>
      <c r="GY46" s="71"/>
      <c r="GZ46" s="71"/>
      <c r="HA46" s="71"/>
      <c r="HB46" s="71"/>
      <c r="HC46" s="71"/>
      <c r="HD46" s="71"/>
      <c r="HM46" s="83">
        <v>0</v>
      </c>
      <c r="HN46" s="73" t="str">
        <f>mehrsprachigkeitBegriffsrückgabe(gewählteSpracheZurückgeben(), "Fixed price")</f>
        <v>Anpassung mit fixem Preis</v>
      </c>
      <c r="HW46" s="83">
        <v>0</v>
      </c>
      <c r="HX46" s="73" t="str">
        <f>mehrsprachigkeitBegriffsrückgabe(gewählteSpracheZurückgeben(), "Fixed price")</f>
        <v>Anpassung mit fixem Preis</v>
      </c>
      <c r="HY46" s="77">
        <v>1</v>
      </c>
      <c r="KT46" s="74">
        <v>0</v>
      </c>
      <c r="KU46" s="73" t="str">
        <f>mehrsprachigkeitBegriffsrückgabe(gewählteSpracheZurückgeben(), "Percent")</f>
        <v>Prozentuale Anpassung</v>
      </c>
      <c r="KX46" s="75">
        <v>0</v>
      </c>
      <c r="LH46" s="72" t="s">
        <v>767</v>
      </c>
      <c r="LI46" s="72" t="s">
        <v>744</v>
      </c>
    </row>
    <row r="47" spans="1:321" ht="15.95" customHeight="1" x14ac:dyDescent="0.25">
      <c r="B47" s="162"/>
      <c r="C47" s="162"/>
      <c r="D47" s="162"/>
      <c r="F47" s="71" t="str">
        <f>mehrsprachigkeitBegriffsrückgabe(gewählteSpracheZurückgeben(), "Variant (foreign language)")</f>
        <v>Variante (Fremdsprache)</v>
      </c>
      <c r="H47" s="72" t="s">
        <v>842</v>
      </c>
      <c r="I47" s="72" t="s">
        <v>94</v>
      </c>
      <c r="BA47" s="147"/>
      <c r="BF47" s="147"/>
      <c r="BG47" s="83"/>
      <c r="BH47" s="73"/>
      <c r="BI47" s="147"/>
      <c r="BJ47" s="77"/>
      <c r="BK47" s="73"/>
      <c r="BL47" s="73"/>
      <c r="BM47" s="77"/>
      <c r="BN47" s="73"/>
      <c r="BO47" s="73"/>
      <c r="BP47" s="147"/>
      <c r="BQ47" s="83"/>
      <c r="BR47" s="73"/>
      <c r="BS47" s="77"/>
      <c r="BT47" s="147"/>
      <c r="BU47" s="77"/>
      <c r="BV47" s="77"/>
      <c r="BW47" s="83"/>
      <c r="BX47" s="73"/>
      <c r="BY47" s="77"/>
      <c r="BZ47" s="73"/>
      <c r="CA47" s="73"/>
      <c r="CB47" s="77"/>
      <c r="CC47" s="73"/>
      <c r="CD47" s="73"/>
      <c r="CE47" s="83"/>
      <c r="CF47" s="73"/>
      <c r="CG47" s="77"/>
      <c r="CH47" s="147"/>
      <c r="CI47" s="77"/>
      <c r="CJ47" s="77"/>
      <c r="CK47" s="83"/>
      <c r="CL47" s="73"/>
      <c r="CM47" s="77"/>
      <c r="CN47" s="73"/>
      <c r="CO47" s="73"/>
      <c r="CP47" s="77"/>
      <c r="CQ47" s="73"/>
      <c r="CR47" s="73"/>
      <c r="CS47" s="83"/>
      <c r="CT47" s="73"/>
      <c r="CU47" s="77"/>
      <c r="CV47" s="147"/>
      <c r="CW47" s="77"/>
      <c r="CX47" s="77"/>
      <c r="CY47" s="83"/>
      <c r="CZ47" s="73"/>
      <c r="DA47" s="77"/>
      <c r="DB47" s="73"/>
      <c r="DC47" s="73"/>
      <c r="DD47" s="77"/>
      <c r="DE47" s="73"/>
      <c r="DF47" s="73"/>
      <c r="DG47" s="83"/>
      <c r="DH47" s="73"/>
      <c r="DI47" s="77"/>
      <c r="DJ47" s="147"/>
      <c r="DK47" s="77"/>
      <c r="DL47" s="77"/>
      <c r="DM47" s="83"/>
      <c r="DN47" s="73"/>
      <c r="DO47" s="77"/>
      <c r="DP47" s="73"/>
      <c r="DQ47" s="73"/>
      <c r="DR47" s="77"/>
      <c r="DS47" s="73"/>
      <c r="DT47" s="73"/>
      <c r="DU47" s="83"/>
      <c r="DV47" s="73"/>
      <c r="DW47" s="77"/>
      <c r="DX47" s="147"/>
      <c r="DY47" s="77"/>
      <c r="DZ47" s="77"/>
      <c r="EA47" s="83"/>
      <c r="EB47" s="73"/>
      <c r="EC47" s="77"/>
      <c r="ED47" s="73"/>
      <c r="EE47" s="73"/>
      <c r="EF47" s="77"/>
      <c r="EG47" s="73"/>
      <c r="EH47" s="73"/>
      <c r="EI47" s="83"/>
      <c r="EJ47" s="73"/>
      <c r="EK47" s="77"/>
      <c r="EL47" s="147"/>
      <c r="EN47" s="74"/>
      <c r="EO47" s="73"/>
      <c r="ER47" s="75"/>
      <c r="ES47" s="76"/>
      <c r="ET47" s="77"/>
      <c r="EU47" s="77"/>
      <c r="EV47" s="78"/>
      <c r="FA47" s="172"/>
      <c r="FB47" s="163"/>
      <c r="FC47" s="172"/>
      <c r="FH47" s="147"/>
      <c r="FL47" s="71"/>
      <c r="FM47" s="71"/>
      <c r="FN47" s="71"/>
      <c r="FO47" s="71"/>
      <c r="FP47" s="71"/>
      <c r="FQ47" s="71"/>
      <c r="FR47" s="71"/>
      <c r="FS47" s="147"/>
      <c r="FW47" s="71"/>
      <c r="FX47" s="71"/>
      <c r="FY47" s="71"/>
      <c r="FZ47" s="71"/>
      <c r="GA47" s="71"/>
      <c r="GB47" s="71"/>
      <c r="GC47" s="71"/>
      <c r="GD47" s="71"/>
      <c r="GE47" s="71"/>
      <c r="GF47" s="71"/>
      <c r="GG47" s="71"/>
      <c r="GH47" s="71"/>
      <c r="GI47" s="71"/>
      <c r="GJ47" s="71"/>
      <c r="GK47" s="71"/>
      <c r="GL47" s="71"/>
      <c r="GM47" s="71"/>
      <c r="GN47" s="71"/>
      <c r="GO47" s="71"/>
      <c r="GP47" s="71"/>
      <c r="GQ47" s="71"/>
      <c r="GR47" s="71"/>
      <c r="GS47" s="71"/>
      <c r="GT47" s="71"/>
      <c r="GU47" s="71"/>
      <c r="GV47" s="71"/>
      <c r="GW47" s="71"/>
      <c r="GX47" s="71"/>
      <c r="GY47" s="71"/>
      <c r="GZ47" s="71"/>
      <c r="HA47" s="71"/>
      <c r="HB47" s="71"/>
      <c r="HC47" s="71"/>
      <c r="HD47" s="71"/>
    </row>
    <row r="48" spans="1:321" ht="15.95" customHeight="1" x14ac:dyDescent="0.25">
      <c r="A48" s="71">
        <v>768</v>
      </c>
      <c r="B48" s="162"/>
      <c r="C48" s="162"/>
      <c r="D48" s="162">
        <v>1</v>
      </c>
      <c r="F48" s="71" t="str">
        <f>mehrsprachigkeitBegriffsrückgabe(gewählteSpracheZurückgeben(), "Variant")</f>
        <v>Variante</v>
      </c>
      <c r="G48" s="72" t="s">
        <v>844</v>
      </c>
      <c r="H48" s="72" t="s">
        <v>826</v>
      </c>
      <c r="I48" s="72" t="s">
        <v>86</v>
      </c>
      <c r="K48" s="72" t="s">
        <v>845</v>
      </c>
      <c r="M48" s="150" t="s">
        <v>700</v>
      </c>
      <c r="N48" s="72" t="s">
        <v>716</v>
      </c>
      <c r="O48" s="72" t="s">
        <v>699</v>
      </c>
      <c r="P48" s="72" t="s">
        <v>525</v>
      </c>
      <c r="Q48" s="72" t="s">
        <v>702</v>
      </c>
      <c r="R48" s="72" t="s">
        <v>733</v>
      </c>
      <c r="S48" s="72" t="s">
        <v>701</v>
      </c>
      <c r="T48" s="72" t="s">
        <v>721</v>
      </c>
      <c r="BA48" s="147"/>
      <c r="BF48" s="147"/>
      <c r="BG48" s="83"/>
      <c r="BH48" s="73"/>
      <c r="BI48" s="147"/>
      <c r="BJ48" s="77"/>
      <c r="BK48" s="73"/>
      <c r="BL48" s="73"/>
      <c r="BM48" s="77"/>
      <c r="BN48" s="73"/>
      <c r="BO48" s="73"/>
      <c r="BP48" s="147"/>
      <c r="BQ48" s="83"/>
      <c r="BR48" s="73"/>
      <c r="BS48" s="77"/>
      <c r="BT48" s="147"/>
      <c r="BU48" s="77"/>
      <c r="BV48" s="77"/>
      <c r="BW48" s="83"/>
      <c r="BX48" s="73"/>
      <c r="BY48" s="77"/>
      <c r="BZ48" s="73"/>
      <c r="CA48" s="73"/>
      <c r="CB48" s="77"/>
      <c r="CC48" s="73"/>
      <c r="CD48" s="73"/>
      <c r="CE48" s="83"/>
      <c r="CF48" s="73"/>
      <c r="CG48" s="77"/>
      <c r="CH48" s="147"/>
      <c r="CI48" s="77"/>
      <c r="CJ48" s="77"/>
      <c r="CK48" s="83"/>
      <c r="CL48" s="73"/>
      <c r="CM48" s="77"/>
      <c r="CN48" s="73"/>
      <c r="CO48" s="73"/>
      <c r="CP48" s="77"/>
      <c r="CQ48" s="73"/>
      <c r="CR48" s="73"/>
      <c r="CS48" s="83"/>
      <c r="CT48" s="73"/>
      <c r="CU48" s="77"/>
      <c r="CV48" s="147"/>
      <c r="CW48" s="77"/>
      <c r="CX48" s="77"/>
      <c r="CY48" s="83"/>
      <c r="CZ48" s="73"/>
      <c r="DA48" s="77"/>
      <c r="DB48" s="73"/>
      <c r="DC48" s="73"/>
      <c r="DD48" s="77"/>
      <c r="DE48" s="73"/>
      <c r="DF48" s="73"/>
      <c r="DG48" s="83"/>
      <c r="DH48" s="73"/>
      <c r="DI48" s="77"/>
      <c r="DJ48" s="147"/>
      <c r="DK48" s="77"/>
      <c r="DL48" s="77"/>
      <c r="DM48" s="83"/>
      <c r="DN48" s="73"/>
      <c r="DO48" s="77"/>
      <c r="DP48" s="73"/>
      <c r="DQ48" s="73"/>
      <c r="DR48" s="77"/>
      <c r="DS48" s="73"/>
      <c r="DT48" s="73"/>
      <c r="DU48" s="83"/>
      <c r="DV48" s="73"/>
      <c r="DW48" s="77"/>
      <c r="DX48" s="147"/>
      <c r="DY48" s="77"/>
      <c r="DZ48" s="77"/>
      <c r="EA48" s="83"/>
      <c r="EB48" s="73"/>
      <c r="EC48" s="77"/>
      <c r="ED48" s="73"/>
      <c r="EE48" s="73"/>
      <c r="EF48" s="77"/>
      <c r="EG48" s="73"/>
      <c r="EH48" s="73"/>
      <c r="EI48" s="83"/>
      <c r="EJ48" s="73"/>
      <c r="EK48" s="77"/>
      <c r="EL48" s="147"/>
      <c r="EN48" s="74"/>
      <c r="EO48" s="73"/>
      <c r="ER48" s="75"/>
      <c r="ES48" s="76"/>
      <c r="ET48" s="77"/>
      <c r="EU48" s="77"/>
      <c r="EV48" s="78"/>
      <c r="FA48" s="172"/>
      <c r="FB48" s="163"/>
      <c r="FC48" s="172"/>
      <c r="FH48" s="147"/>
      <c r="FL48" s="71"/>
      <c r="FM48" s="71"/>
      <c r="FN48" s="71"/>
      <c r="FO48" s="71"/>
      <c r="FP48" s="71"/>
      <c r="FQ48" s="71"/>
      <c r="FR48" s="71"/>
      <c r="FS48" s="147"/>
      <c r="FW48" s="71"/>
      <c r="FX48" s="71"/>
      <c r="FY48" s="71"/>
      <c r="FZ48" s="71"/>
      <c r="GA48" s="71"/>
      <c r="GB48" s="71"/>
      <c r="GC48" s="71"/>
      <c r="GD48" s="71"/>
      <c r="GE48" s="71"/>
      <c r="GF48" s="71"/>
      <c r="GG48" s="71"/>
      <c r="GH48" s="71"/>
      <c r="GI48" s="71"/>
      <c r="GJ48" s="71"/>
      <c r="GK48" s="71"/>
      <c r="GL48" s="71"/>
      <c r="GM48" s="71"/>
      <c r="GN48" s="71"/>
      <c r="GO48" s="71"/>
      <c r="GP48" s="71"/>
      <c r="GQ48" s="71"/>
      <c r="GR48" s="71"/>
      <c r="GS48" s="71"/>
      <c r="GT48" s="71"/>
      <c r="GU48" s="71"/>
      <c r="GV48" s="71"/>
      <c r="GW48" s="71"/>
      <c r="GX48" s="71"/>
      <c r="GY48" s="71"/>
      <c r="GZ48" s="71"/>
      <c r="HA48" s="71"/>
      <c r="HB48" s="71"/>
      <c r="HC48" s="71"/>
      <c r="HD48" s="71"/>
      <c r="HM48" s="83">
        <v>0</v>
      </c>
      <c r="HN48" s="73" t="str">
        <f>mehrsprachigkeitBegriffsrückgabe(gewählteSpracheZurückgeben(), "Fixed price")</f>
        <v>Anpassung mit fixem Preis</v>
      </c>
      <c r="HW48" s="83">
        <v>0</v>
      </c>
      <c r="HX48" s="73" t="str">
        <f>mehrsprachigkeitBegriffsrückgabe(gewählteSpracheZurückgeben(), "Fixed price")</f>
        <v>Anpassung mit fixem Preis</v>
      </c>
      <c r="HY48" s="77">
        <v>1</v>
      </c>
      <c r="KT48" s="74">
        <v>0</v>
      </c>
      <c r="KU48" s="73" t="str">
        <f>mehrsprachigkeitBegriffsrückgabe(gewählteSpracheZurückgeben(), "Percent")</f>
        <v>Prozentuale Anpassung</v>
      </c>
      <c r="KX48" s="75">
        <v>0</v>
      </c>
      <c r="LH48" s="72" t="s">
        <v>767</v>
      </c>
      <c r="LI48" s="72" t="s">
        <v>744</v>
      </c>
    </row>
    <row r="49" spans="1:321" ht="15.95" customHeight="1" x14ac:dyDescent="0.25">
      <c r="B49" s="162"/>
      <c r="C49" s="162"/>
      <c r="D49" s="162"/>
      <c r="F49" s="71" t="str">
        <f>mehrsprachigkeitBegriffsrückgabe(gewählteSpracheZurückgeben(), "Variant (foreign language)")</f>
        <v>Variante (Fremdsprache)</v>
      </c>
      <c r="H49" s="72" t="s">
        <v>844</v>
      </c>
      <c r="I49" s="72" t="s">
        <v>94</v>
      </c>
      <c r="BA49" s="147"/>
      <c r="BF49" s="147"/>
      <c r="BG49" s="83"/>
      <c r="BH49" s="73"/>
      <c r="BI49" s="147"/>
      <c r="BJ49" s="77"/>
      <c r="BK49" s="73"/>
      <c r="BL49" s="73"/>
      <c r="BM49" s="77"/>
      <c r="BN49" s="73"/>
      <c r="BO49" s="73"/>
      <c r="BP49" s="147"/>
      <c r="BQ49" s="83"/>
      <c r="BR49" s="73"/>
      <c r="BS49" s="77"/>
      <c r="BT49" s="147"/>
      <c r="BU49" s="77"/>
      <c r="BV49" s="77"/>
      <c r="BW49" s="83"/>
      <c r="BX49" s="73"/>
      <c r="BY49" s="77"/>
      <c r="BZ49" s="73"/>
      <c r="CA49" s="73"/>
      <c r="CB49" s="77"/>
      <c r="CC49" s="73"/>
      <c r="CD49" s="73"/>
      <c r="CE49" s="83"/>
      <c r="CF49" s="73"/>
      <c r="CG49" s="77"/>
      <c r="CH49" s="147"/>
      <c r="CI49" s="77"/>
      <c r="CJ49" s="77"/>
      <c r="CK49" s="83"/>
      <c r="CL49" s="73"/>
      <c r="CM49" s="77"/>
      <c r="CN49" s="73"/>
      <c r="CO49" s="73"/>
      <c r="CP49" s="77"/>
      <c r="CQ49" s="73"/>
      <c r="CR49" s="73"/>
      <c r="CS49" s="83"/>
      <c r="CT49" s="73"/>
      <c r="CU49" s="77"/>
      <c r="CV49" s="147"/>
      <c r="CW49" s="77"/>
      <c r="CX49" s="77"/>
      <c r="CY49" s="83"/>
      <c r="CZ49" s="73"/>
      <c r="DA49" s="77"/>
      <c r="DB49" s="73"/>
      <c r="DC49" s="73"/>
      <c r="DD49" s="77"/>
      <c r="DE49" s="73"/>
      <c r="DF49" s="73"/>
      <c r="DG49" s="83"/>
      <c r="DH49" s="73"/>
      <c r="DI49" s="77"/>
      <c r="DJ49" s="147"/>
      <c r="DK49" s="77"/>
      <c r="DL49" s="77"/>
      <c r="DM49" s="83"/>
      <c r="DN49" s="73"/>
      <c r="DO49" s="77"/>
      <c r="DP49" s="73"/>
      <c r="DQ49" s="73"/>
      <c r="DR49" s="77"/>
      <c r="DS49" s="73"/>
      <c r="DT49" s="73"/>
      <c r="DU49" s="83"/>
      <c r="DV49" s="73"/>
      <c r="DW49" s="77"/>
      <c r="DX49" s="147"/>
      <c r="DY49" s="77"/>
      <c r="DZ49" s="77"/>
      <c r="EA49" s="83"/>
      <c r="EB49" s="73"/>
      <c r="EC49" s="77"/>
      <c r="ED49" s="73"/>
      <c r="EE49" s="73"/>
      <c r="EF49" s="77"/>
      <c r="EG49" s="73"/>
      <c r="EH49" s="73"/>
      <c r="EI49" s="83"/>
      <c r="EJ49" s="73"/>
      <c r="EK49" s="77"/>
      <c r="EL49" s="147"/>
      <c r="EN49" s="74"/>
      <c r="EO49" s="73"/>
      <c r="ER49" s="75"/>
      <c r="ES49" s="76"/>
      <c r="ET49" s="77"/>
      <c r="EU49" s="77"/>
      <c r="EV49" s="78"/>
      <c r="FA49" s="172"/>
      <c r="FB49" s="163"/>
      <c r="FC49" s="172"/>
      <c r="FH49" s="147"/>
      <c r="FL49" s="71"/>
      <c r="FM49" s="71"/>
      <c r="FN49" s="71"/>
      <c r="FO49" s="71"/>
      <c r="FP49" s="71"/>
      <c r="FQ49" s="71"/>
      <c r="FR49" s="71"/>
      <c r="FS49" s="147"/>
      <c r="FW49" s="71"/>
      <c r="FX49" s="71"/>
      <c r="FY49" s="71"/>
      <c r="FZ49" s="71"/>
      <c r="GA49" s="71"/>
      <c r="GB49" s="71"/>
      <c r="GC49" s="71"/>
      <c r="GD49" s="71"/>
      <c r="GE49" s="71"/>
      <c r="GF49" s="71"/>
      <c r="GG49" s="71"/>
      <c r="GH49" s="71"/>
      <c r="GI49" s="71"/>
      <c r="GJ49" s="71"/>
      <c r="GK49" s="71"/>
      <c r="GL49" s="71"/>
      <c r="GM49" s="71"/>
      <c r="GN49" s="71"/>
      <c r="GO49" s="71"/>
      <c r="GP49" s="71"/>
      <c r="GQ49" s="71"/>
      <c r="GR49" s="71"/>
      <c r="GS49" s="71"/>
      <c r="GT49" s="71"/>
      <c r="GU49" s="71"/>
      <c r="GV49" s="71"/>
      <c r="GW49" s="71"/>
      <c r="GX49" s="71"/>
      <c r="GY49" s="71"/>
      <c r="GZ49" s="71"/>
      <c r="HA49" s="71"/>
      <c r="HB49" s="71"/>
      <c r="HC49" s="71"/>
      <c r="HD49" s="71"/>
    </row>
    <row r="50" spans="1:321" ht="15.95" customHeight="1" x14ac:dyDescent="0.25">
      <c r="A50" s="71">
        <v>894</v>
      </c>
      <c r="B50" s="162"/>
      <c r="C50" s="162"/>
      <c r="D50" s="162">
        <v>1</v>
      </c>
      <c r="F50" s="71" t="str">
        <f>mehrsprachigkeitBegriffsrückgabe(gewählteSpracheZurückgeben(), "Variant")</f>
        <v>Variante</v>
      </c>
      <c r="G50" s="72" t="s">
        <v>846</v>
      </c>
      <c r="H50" s="72" t="s">
        <v>826</v>
      </c>
      <c r="I50" s="72" t="s">
        <v>86</v>
      </c>
      <c r="K50" s="72" t="s">
        <v>847</v>
      </c>
      <c r="M50" s="150" t="s">
        <v>700</v>
      </c>
      <c r="N50" s="72" t="s">
        <v>717</v>
      </c>
      <c r="O50" s="72" t="s">
        <v>699</v>
      </c>
      <c r="P50" s="72" t="s">
        <v>528</v>
      </c>
      <c r="Q50" s="72" t="s">
        <v>702</v>
      </c>
      <c r="R50" s="72" t="s">
        <v>733</v>
      </c>
      <c r="S50" s="72" t="s">
        <v>701</v>
      </c>
      <c r="T50" s="72" t="s">
        <v>721</v>
      </c>
      <c r="BA50" s="147"/>
      <c r="BF50" s="147"/>
      <c r="BG50" s="83"/>
      <c r="BH50" s="73"/>
      <c r="BI50" s="147"/>
      <c r="BJ50" s="77"/>
      <c r="BK50" s="73"/>
      <c r="BL50" s="73"/>
      <c r="BM50" s="77"/>
      <c r="BN50" s="73"/>
      <c r="BO50" s="73"/>
      <c r="BP50" s="147"/>
      <c r="BQ50" s="83"/>
      <c r="BR50" s="73"/>
      <c r="BS50" s="77"/>
      <c r="BT50" s="147"/>
      <c r="BU50" s="77"/>
      <c r="BV50" s="77"/>
      <c r="BW50" s="83"/>
      <c r="BX50" s="73"/>
      <c r="BY50" s="77"/>
      <c r="BZ50" s="73"/>
      <c r="CA50" s="73"/>
      <c r="CB50" s="77"/>
      <c r="CC50" s="73"/>
      <c r="CD50" s="73"/>
      <c r="CE50" s="83"/>
      <c r="CF50" s="73"/>
      <c r="CG50" s="77"/>
      <c r="CH50" s="147"/>
      <c r="CI50" s="77"/>
      <c r="CJ50" s="77"/>
      <c r="CK50" s="83"/>
      <c r="CL50" s="73"/>
      <c r="CM50" s="77"/>
      <c r="CN50" s="73"/>
      <c r="CO50" s="73"/>
      <c r="CP50" s="77"/>
      <c r="CQ50" s="73"/>
      <c r="CR50" s="73"/>
      <c r="CS50" s="83"/>
      <c r="CT50" s="73"/>
      <c r="CU50" s="77"/>
      <c r="CV50" s="147"/>
      <c r="CW50" s="77"/>
      <c r="CX50" s="77"/>
      <c r="CY50" s="83"/>
      <c r="CZ50" s="73"/>
      <c r="DA50" s="77"/>
      <c r="DB50" s="73"/>
      <c r="DC50" s="73"/>
      <c r="DD50" s="77"/>
      <c r="DE50" s="73"/>
      <c r="DF50" s="73"/>
      <c r="DG50" s="83"/>
      <c r="DH50" s="73"/>
      <c r="DI50" s="77"/>
      <c r="DJ50" s="147"/>
      <c r="DK50" s="77"/>
      <c r="DL50" s="77"/>
      <c r="DM50" s="83"/>
      <c r="DN50" s="73"/>
      <c r="DO50" s="77"/>
      <c r="DP50" s="73"/>
      <c r="DQ50" s="73"/>
      <c r="DR50" s="77"/>
      <c r="DS50" s="73"/>
      <c r="DT50" s="73"/>
      <c r="DU50" s="83"/>
      <c r="DV50" s="73"/>
      <c r="DW50" s="77"/>
      <c r="DX50" s="147"/>
      <c r="DY50" s="77"/>
      <c r="DZ50" s="77"/>
      <c r="EA50" s="83"/>
      <c r="EB50" s="73"/>
      <c r="EC50" s="77"/>
      <c r="ED50" s="73"/>
      <c r="EE50" s="73"/>
      <c r="EF50" s="77"/>
      <c r="EG50" s="73"/>
      <c r="EH50" s="73"/>
      <c r="EI50" s="83"/>
      <c r="EJ50" s="73"/>
      <c r="EK50" s="77"/>
      <c r="EL50" s="147"/>
      <c r="EN50" s="74"/>
      <c r="EO50" s="73"/>
      <c r="ER50" s="75"/>
      <c r="ES50" s="76"/>
      <c r="ET50" s="77"/>
      <c r="EU50" s="77"/>
      <c r="EV50" s="78"/>
      <c r="FA50" s="172"/>
      <c r="FB50" s="163"/>
      <c r="FC50" s="172"/>
      <c r="FH50" s="147"/>
      <c r="FL50" s="71"/>
      <c r="FM50" s="71"/>
      <c r="FN50" s="71"/>
      <c r="FO50" s="71"/>
      <c r="FP50" s="71"/>
      <c r="FQ50" s="71"/>
      <c r="FR50" s="71"/>
      <c r="FS50" s="147"/>
      <c r="FW50" s="71"/>
      <c r="FX50" s="71"/>
      <c r="FY50" s="71"/>
      <c r="FZ50" s="71"/>
      <c r="GA50" s="71"/>
      <c r="GB50" s="71"/>
      <c r="GC50" s="71"/>
      <c r="GD50" s="71"/>
      <c r="GE50" s="71"/>
      <c r="GF50" s="71"/>
      <c r="GG50" s="71"/>
      <c r="GH50" s="71"/>
      <c r="GI50" s="71"/>
      <c r="GJ50" s="71"/>
      <c r="GK50" s="71"/>
      <c r="GL50" s="71"/>
      <c r="GM50" s="71"/>
      <c r="GN50" s="71"/>
      <c r="GO50" s="71"/>
      <c r="GP50" s="71"/>
      <c r="GQ50" s="71"/>
      <c r="GR50" s="71"/>
      <c r="GS50" s="71"/>
      <c r="GT50" s="71"/>
      <c r="GU50" s="71"/>
      <c r="GV50" s="71"/>
      <c r="GW50" s="71"/>
      <c r="GX50" s="71"/>
      <c r="GY50" s="71"/>
      <c r="GZ50" s="71"/>
      <c r="HA50" s="71"/>
      <c r="HB50" s="71"/>
      <c r="HC50" s="71"/>
      <c r="HD50" s="71"/>
      <c r="HM50" s="83">
        <v>0</v>
      </c>
      <c r="HN50" s="73" t="str">
        <f>mehrsprachigkeitBegriffsrückgabe(gewählteSpracheZurückgeben(), "Fixed price")</f>
        <v>Anpassung mit fixem Preis</v>
      </c>
      <c r="HW50" s="83">
        <v>0</v>
      </c>
      <c r="HX50" s="73" t="str">
        <f>mehrsprachigkeitBegriffsrückgabe(gewählteSpracheZurückgeben(), "Fixed price")</f>
        <v>Anpassung mit fixem Preis</v>
      </c>
      <c r="HY50" s="77">
        <v>1</v>
      </c>
      <c r="KT50" s="74">
        <v>0</v>
      </c>
      <c r="KU50" s="73" t="str">
        <f>mehrsprachigkeitBegriffsrückgabe(gewählteSpracheZurückgeben(), "Percent")</f>
        <v>Prozentuale Anpassung</v>
      </c>
      <c r="KX50" s="75">
        <v>0</v>
      </c>
      <c r="LH50" s="72" t="s">
        <v>767</v>
      </c>
      <c r="LI50" s="72" t="s">
        <v>744</v>
      </c>
    </row>
    <row r="51" spans="1:321" ht="15.95" customHeight="1" x14ac:dyDescent="0.25">
      <c r="B51" s="162"/>
      <c r="C51" s="162"/>
      <c r="D51" s="162"/>
      <c r="F51" s="71" t="str">
        <f>mehrsprachigkeitBegriffsrückgabe(gewählteSpracheZurückgeben(), "Variant (foreign language)")</f>
        <v>Variante (Fremdsprache)</v>
      </c>
      <c r="H51" s="72" t="s">
        <v>846</v>
      </c>
      <c r="I51" s="72" t="s">
        <v>94</v>
      </c>
      <c r="BA51" s="147"/>
      <c r="BF51" s="147"/>
      <c r="BG51" s="83"/>
      <c r="BH51" s="73"/>
      <c r="BI51" s="147"/>
      <c r="BJ51" s="77"/>
      <c r="BK51" s="73"/>
      <c r="BL51" s="73"/>
      <c r="BM51" s="77"/>
      <c r="BN51" s="73"/>
      <c r="BO51" s="73"/>
      <c r="BP51" s="147"/>
      <c r="BQ51" s="83"/>
      <c r="BR51" s="73"/>
      <c r="BS51" s="77"/>
      <c r="BT51" s="147"/>
      <c r="BU51" s="77"/>
      <c r="BV51" s="77"/>
      <c r="BW51" s="83"/>
      <c r="BX51" s="73"/>
      <c r="BY51" s="77"/>
      <c r="BZ51" s="73"/>
      <c r="CA51" s="73"/>
      <c r="CB51" s="77"/>
      <c r="CC51" s="73"/>
      <c r="CD51" s="73"/>
      <c r="CE51" s="83"/>
      <c r="CF51" s="73"/>
      <c r="CG51" s="77"/>
      <c r="CH51" s="147"/>
      <c r="CI51" s="77"/>
      <c r="CJ51" s="77"/>
      <c r="CK51" s="83"/>
      <c r="CL51" s="73"/>
      <c r="CM51" s="77"/>
      <c r="CN51" s="73"/>
      <c r="CO51" s="73"/>
      <c r="CP51" s="77"/>
      <c r="CQ51" s="73"/>
      <c r="CR51" s="73"/>
      <c r="CS51" s="83"/>
      <c r="CT51" s="73"/>
      <c r="CU51" s="77"/>
      <c r="CV51" s="147"/>
      <c r="CW51" s="77"/>
      <c r="CX51" s="77"/>
      <c r="CY51" s="83"/>
      <c r="CZ51" s="73"/>
      <c r="DA51" s="77"/>
      <c r="DB51" s="73"/>
      <c r="DC51" s="73"/>
      <c r="DD51" s="77"/>
      <c r="DE51" s="73"/>
      <c r="DF51" s="73"/>
      <c r="DG51" s="83"/>
      <c r="DH51" s="73"/>
      <c r="DI51" s="77"/>
      <c r="DJ51" s="147"/>
      <c r="DK51" s="77"/>
      <c r="DL51" s="77"/>
      <c r="DM51" s="83"/>
      <c r="DN51" s="73"/>
      <c r="DO51" s="77"/>
      <c r="DP51" s="73"/>
      <c r="DQ51" s="73"/>
      <c r="DR51" s="77"/>
      <c r="DS51" s="73"/>
      <c r="DT51" s="73"/>
      <c r="DU51" s="83"/>
      <c r="DV51" s="73"/>
      <c r="DW51" s="77"/>
      <c r="DX51" s="147"/>
      <c r="DY51" s="77"/>
      <c r="DZ51" s="77"/>
      <c r="EA51" s="83"/>
      <c r="EB51" s="73"/>
      <c r="EC51" s="77"/>
      <c r="ED51" s="73"/>
      <c r="EE51" s="73"/>
      <c r="EF51" s="77"/>
      <c r="EG51" s="73"/>
      <c r="EH51" s="73"/>
      <c r="EI51" s="83"/>
      <c r="EJ51" s="73"/>
      <c r="EK51" s="77"/>
      <c r="EL51" s="147"/>
      <c r="EN51" s="74"/>
      <c r="EO51" s="73"/>
      <c r="ER51" s="75"/>
      <c r="ES51" s="76"/>
      <c r="ET51" s="77"/>
      <c r="EU51" s="77"/>
      <c r="EV51" s="78"/>
      <c r="FA51" s="172"/>
      <c r="FB51" s="163"/>
      <c r="FC51" s="172"/>
      <c r="FH51" s="147"/>
      <c r="FL51" s="71"/>
      <c r="FM51" s="71"/>
      <c r="FN51" s="71"/>
      <c r="FO51" s="71"/>
      <c r="FP51" s="71"/>
      <c r="FQ51" s="71"/>
      <c r="FR51" s="71"/>
      <c r="FS51" s="147"/>
      <c r="FW51" s="71"/>
      <c r="FX51" s="71"/>
      <c r="FY51" s="71"/>
      <c r="FZ51" s="71"/>
      <c r="GA51" s="71"/>
      <c r="GB51" s="71"/>
      <c r="GC51" s="71"/>
      <c r="GD51" s="71"/>
      <c r="GE51" s="71"/>
      <c r="GF51" s="71"/>
      <c r="GG51" s="71"/>
      <c r="GH51" s="71"/>
      <c r="GI51" s="71"/>
      <c r="GJ51" s="71"/>
      <c r="GK51" s="71"/>
      <c r="GL51" s="71"/>
      <c r="GM51" s="71"/>
      <c r="GN51" s="71"/>
      <c r="GO51" s="71"/>
      <c r="GP51" s="71"/>
      <c r="GQ51" s="71"/>
      <c r="GR51" s="71"/>
      <c r="GS51" s="71"/>
      <c r="GT51" s="71"/>
      <c r="GU51" s="71"/>
      <c r="GV51" s="71"/>
      <c r="GW51" s="71"/>
      <c r="GX51" s="71"/>
      <c r="GY51" s="71"/>
      <c r="GZ51" s="71"/>
      <c r="HA51" s="71"/>
      <c r="HB51" s="71"/>
      <c r="HC51" s="71"/>
      <c r="HD51" s="71"/>
    </row>
    <row r="52" spans="1:321" ht="15.95" customHeight="1" x14ac:dyDescent="0.25">
      <c r="A52" s="71">
        <v>1024</v>
      </c>
      <c r="B52" s="162"/>
      <c r="C52" s="162"/>
      <c r="D52" s="162">
        <v>1</v>
      </c>
      <c r="F52" s="71" t="str">
        <f>mehrsprachigkeitBegriffsrückgabe(gewählteSpracheZurückgeben(), "Variant")</f>
        <v>Variante</v>
      </c>
      <c r="G52" s="72" t="s">
        <v>848</v>
      </c>
      <c r="H52" s="72" t="s">
        <v>826</v>
      </c>
      <c r="I52" s="72" t="s">
        <v>86</v>
      </c>
      <c r="K52" s="72" t="s">
        <v>849</v>
      </c>
      <c r="M52" s="150" t="s">
        <v>700</v>
      </c>
      <c r="N52" s="72" t="s">
        <v>718</v>
      </c>
      <c r="O52" s="72" t="s">
        <v>699</v>
      </c>
      <c r="P52" s="72" t="s">
        <v>710</v>
      </c>
      <c r="Q52" s="72" t="s">
        <v>702</v>
      </c>
      <c r="R52" s="72" t="s">
        <v>733</v>
      </c>
      <c r="S52" s="72" t="s">
        <v>701</v>
      </c>
      <c r="T52" s="72" t="s">
        <v>721</v>
      </c>
      <c r="BA52" s="147"/>
      <c r="BF52" s="147"/>
      <c r="BG52" s="83"/>
      <c r="BH52" s="73"/>
      <c r="BI52" s="147"/>
      <c r="BJ52" s="77"/>
      <c r="BK52" s="73"/>
      <c r="BL52" s="73"/>
      <c r="BM52" s="77"/>
      <c r="BN52" s="73"/>
      <c r="BO52" s="73"/>
      <c r="BP52" s="147"/>
      <c r="BQ52" s="83"/>
      <c r="BR52" s="73"/>
      <c r="BS52" s="77"/>
      <c r="BT52" s="147"/>
      <c r="BU52" s="77"/>
      <c r="BV52" s="77"/>
      <c r="BW52" s="83"/>
      <c r="BX52" s="73"/>
      <c r="BY52" s="77"/>
      <c r="BZ52" s="73"/>
      <c r="CA52" s="73"/>
      <c r="CB52" s="77"/>
      <c r="CC52" s="73"/>
      <c r="CD52" s="73"/>
      <c r="CE52" s="83"/>
      <c r="CF52" s="73"/>
      <c r="CG52" s="77"/>
      <c r="CH52" s="147"/>
      <c r="CI52" s="77"/>
      <c r="CJ52" s="77"/>
      <c r="CK52" s="83"/>
      <c r="CL52" s="73"/>
      <c r="CM52" s="77"/>
      <c r="CN52" s="73"/>
      <c r="CO52" s="73"/>
      <c r="CP52" s="77"/>
      <c r="CQ52" s="73"/>
      <c r="CR52" s="73"/>
      <c r="CS52" s="83"/>
      <c r="CT52" s="73"/>
      <c r="CU52" s="77"/>
      <c r="CV52" s="147"/>
      <c r="CW52" s="77"/>
      <c r="CX52" s="77"/>
      <c r="CY52" s="83"/>
      <c r="CZ52" s="73"/>
      <c r="DA52" s="77"/>
      <c r="DB52" s="73"/>
      <c r="DC52" s="73"/>
      <c r="DD52" s="77"/>
      <c r="DE52" s="73"/>
      <c r="DF52" s="73"/>
      <c r="DG52" s="83"/>
      <c r="DH52" s="73"/>
      <c r="DI52" s="77"/>
      <c r="DJ52" s="147"/>
      <c r="DK52" s="77"/>
      <c r="DL52" s="77"/>
      <c r="DM52" s="83"/>
      <c r="DN52" s="73"/>
      <c r="DO52" s="77"/>
      <c r="DP52" s="73"/>
      <c r="DQ52" s="73"/>
      <c r="DR52" s="77"/>
      <c r="DS52" s="73"/>
      <c r="DT52" s="73"/>
      <c r="DU52" s="83"/>
      <c r="DV52" s="73"/>
      <c r="DW52" s="77"/>
      <c r="DX52" s="147"/>
      <c r="DY52" s="77"/>
      <c r="DZ52" s="77"/>
      <c r="EA52" s="83"/>
      <c r="EB52" s="73"/>
      <c r="EC52" s="77"/>
      <c r="ED52" s="73"/>
      <c r="EE52" s="73"/>
      <c r="EF52" s="77"/>
      <c r="EG52" s="73"/>
      <c r="EH52" s="73"/>
      <c r="EI52" s="83"/>
      <c r="EJ52" s="73"/>
      <c r="EK52" s="77"/>
      <c r="EL52" s="147"/>
      <c r="EN52" s="74"/>
      <c r="EO52" s="73"/>
      <c r="ER52" s="75"/>
      <c r="ES52" s="76"/>
      <c r="ET52" s="77"/>
      <c r="EU52" s="77"/>
      <c r="EV52" s="78"/>
      <c r="FA52" s="172"/>
      <c r="FB52" s="163"/>
      <c r="FC52" s="172"/>
      <c r="FH52" s="147"/>
      <c r="FL52" s="71"/>
      <c r="FM52" s="71"/>
      <c r="FN52" s="71"/>
      <c r="FO52" s="71"/>
      <c r="FP52" s="71"/>
      <c r="FQ52" s="71"/>
      <c r="FR52" s="71"/>
      <c r="FS52" s="147"/>
      <c r="FW52" s="71"/>
      <c r="FX52" s="71"/>
      <c r="FY52" s="71"/>
      <c r="FZ52" s="71"/>
      <c r="GA52" s="71"/>
      <c r="GB52" s="71"/>
      <c r="GC52" s="71"/>
      <c r="GD52" s="71"/>
      <c r="GE52" s="71"/>
      <c r="GF52" s="71"/>
      <c r="GG52" s="71"/>
      <c r="GH52" s="71"/>
      <c r="GI52" s="71"/>
      <c r="GJ52" s="71"/>
      <c r="GK52" s="71"/>
      <c r="GL52" s="71"/>
      <c r="GM52" s="71"/>
      <c r="GN52" s="71"/>
      <c r="GO52" s="71"/>
      <c r="GP52" s="71"/>
      <c r="GQ52" s="71"/>
      <c r="GR52" s="71"/>
      <c r="GS52" s="71"/>
      <c r="GT52" s="71"/>
      <c r="GU52" s="71"/>
      <c r="GV52" s="71"/>
      <c r="GW52" s="71"/>
      <c r="GX52" s="71"/>
      <c r="GY52" s="71"/>
      <c r="GZ52" s="71"/>
      <c r="HA52" s="71"/>
      <c r="HB52" s="71"/>
      <c r="HC52" s="71"/>
      <c r="HD52" s="71"/>
      <c r="HM52" s="83">
        <v>0</v>
      </c>
      <c r="HN52" s="73" t="str">
        <f>mehrsprachigkeitBegriffsrückgabe(gewählteSpracheZurückgeben(), "Fixed price")</f>
        <v>Anpassung mit fixem Preis</v>
      </c>
      <c r="HW52" s="83">
        <v>0</v>
      </c>
      <c r="HX52" s="73" t="str">
        <f>mehrsprachigkeitBegriffsrückgabe(gewählteSpracheZurückgeben(), "Fixed price")</f>
        <v>Anpassung mit fixem Preis</v>
      </c>
      <c r="HY52" s="77">
        <v>1</v>
      </c>
      <c r="KT52" s="74">
        <v>0</v>
      </c>
      <c r="KU52" s="73" t="str">
        <f>mehrsprachigkeitBegriffsrückgabe(gewählteSpracheZurückgeben(), "Percent")</f>
        <v>Prozentuale Anpassung</v>
      </c>
      <c r="KX52" s="75">
        <v>0</v>
      </c>
      <c r="LH52" s="72" t="s">
        <v>767</v>
      </c>
      <c r="LI52" s="72" t="s">
        <v>744</v>
      </c>
    </row>
    <row r="53" spans="1:321" ht="15.95" customHeight="1" x14ac:dyDescent="0.25">
      <c r="B53" s="162"/>
      <c r="C53" s="162"/>
      <c r="D53" s="162"/>
      <c r="F53" s="71" t="str">
        <f>mehrsprachigkeitBegriffsrückgabe(gewählteSpracheZurückgeben(), "Variant (foreign language)")</f>
        <v>Variante (Fremdsprache)</v>
      </c>
      <c r="H53" s="72" t="s">
        <v>848</v>
      </c>
      <c r="I53" s="72" t="s">
        <v>94</v>
      </c>
      <c r="BA53" s="147"/>
      <c r="BF53" s="147"/>
      <c r="BG53" s="83"/>
      <c r="BH53" s="73"/>
      <c r="BI53" s="147"/>
      <c r="BJ53" s="77"/>
      <c r="BK53" s="73"/>
      <c r="BL53" s="73"/>
      <c r="BM53" s="77"/>
      <c r="BN53" s="73"/>
      <c r="BO53" s="73"/>
      <c r="BP53" s="147"/>
      <c r="BQ53" s="83"/>
      <c r="BR53" s="73"/>
      <c r="BS53" s="77"/>
      <c r="BT53" s="147"/>
      <c r="BU53" s="77"/>
      <c r="BV53" s="77"/>
      <c r="BW53" s="83"/>
      <c r="BX53" s="73"/>
      <c r="BY53" s="77"/>
      <c r="BZ53" s="73"/>
      <c r="CA53" s="73"/>
      <c r="CB53" s="77"/>
      <c r="CC53" s="73"/>
      <c r="CD53" s="73"/>
      <c r="CE53" s="83"/>
      <c r="CF53" s="73"/>
      <c r="CG53" s="77"/>
      <c r="CH53" s="147"/>
      <c r="CI53" s="77"/>
      <c r="CJ53" s="77"/>
      <c r="CK53" s="83"/>
      <c r="CL53" s="73"/>
      <c r="CM53" s="77"/>
      <c r="CN53" s="73"/>
      <c r="CO53" s="73"/>
      <c r="CP53" s="77"/>
      <c r="CQ53" s="73"/>
      <c r="CR53" s="73"/>
      <c r="CS53" s="83"/>
      <c r="CT53" s="73"/>
      <c r="CU53" s="77"/>
      <c r="CV53" s="147"/>
      <c r="CW53" s="77"/>
      <c r="CX53" s="77"/>
      <c r="CY53" s="83"/>
      <c r="CZ53" s="73"/>
      <c r="DA53" s="77"/>
      <c r="DB53" s="73"/>
      <c r="DC53" s="73"/>
      <c r="DD53" s="77"/>
      <c r="DE53" s="73"/>
      <c r="DF53" s="73"/>
      <c r="DG53" s="83"/>
      <c r="DH53" s="73"/>
      <c r="DI53" s="77"/>
      <c r="DJ53" s="147"/>
      <c r="DK53" s="77"/>
      <c r="DL53" s="77"/>
      <c r="DM53" s="83"/>
      <c r="DN53" s="73"/>
      <c r="DO53" s="77"/>
      <c r="DP53" s="73"/>
      <c r="DQ53" s="73"/>
      <c r="DR53" s="77"/>
      <c r="DS53" s="73"/>
      <c r="DT53" s="73"/>
      <c r="DU53" s="83"/>
      <c r="DV53" s="73"/>
      <c r="DW53" s="77"/>
      <c r="DX53" s="147"/>
      <c r="DY53" s="77"/>
      <c r="DZ53" s="77"/>
      <c r="EA53" s="83"/>
      <c r="EB53" s="73"/>
      <c r="EC53" s="77"/>
      <c r="ED53" s="73"/>
      <c r="EE53" s="73"/>
      <c r="EF53" s="77"/>
      <c r="EG53" s="73"/>
      <c r="EH53" s="73"/>
      <c r="EI53" s="83"/>
      <c r="EJ53" s="73"/>
      <c r="EK53" s="77"/>
      <c r="EL53" s="147"/>
      <c r="EN53" s="74"/>
      <c r="EO53" s="73"/>
      <c r="ER53" s="75"/>
      <c r="ES53" s="76"/>
      <c r="ET53" s="77"/>
      <c r="EU53" s="77"/>
      <c r="EV53" s="78"/>
      <c r="FA53" s="172"/>
      <c r="FB53" s="163"/>
      <c r="FC53" s="172"/>
      <c r="FH53" s="147"/>
      <c r="FL53" s="71"/>
      <c r="FM53" s="71"/>
      <c r="FN53" s="71"/>
      <c r="FO53" s="71"/>
      <c r="FP53" s="71"/>
      <c r="FQ53" s="71"/>
      <c r="FR53" s="71"/>
      <c r="FS53" s="147"/>
      <c r="FW53" s="71"/>
      <c r="FX53" s="71"/>
      <c r="FY53" s="71"/>
      <c r="FZ53" s="71"/>
      <c r="GA53" s="71"/>
      <c r="GB53" s="71"/>
      <c r="GC53" s="71"/>
      <c r="GD53" s="71"/>
      <c r="GE53" s="71"/>
      <c r="GF53" s="71"/>
      <c r="GG53" s="71"/>
      <c r="GH53" s="71"/>
      <c r="GI53" s="71"/>
      <c r="GJ53" s="71"/>
      <c r="GK53" s="71"/>
      <c r="GL53" s="71"/>
      <c r="GM53" s="71"/>
      <c r="GN53" s="71"/>
      <c r="GO53" s="71"/>
      <c r="GP53" s="71"/>
      <c r="GQ53" s="71"/>
      <c r="GR53" s="71"/>
      <c r="GS53" s="71"/>
      <c r="GT53" s="71"/>
      <c r="GU53" s="71"/>
      <c r="GV53" s="71"/>
      <c r="GW53" s="71"/>
      <c r="GX53" s="71"/>
      <c r="GY53" s="71"/>
      <c r="GZ53" s="71"/>
      <c r="HA53" s="71"/>
      <c r="HB53" s="71"/>
      <c r="HC53" s="71"/>
      <c r="HD53" s="71"/>
    </row>
    <row r="54" spans="1:321" ht="15.95" customHeight="1" x14ac:dyDescent="0.25">
      <c r="A54" s="71">
        <v>1152</v>
      </c>
      <c r="B54" s="162"/>
      <c r="C54" s="162"/>
      <c r="D54" s="162">
        <v>1</v>
      </c>
      <c r="F54" s="71" t="str">
        <f>mehrsprachigkeitBegriffsrückgabe(gewählteSpracheZurückgeben(), "Variant")</f>
        <v>Variante</v>
      </c>
      <c r="G54" s="72" t="s">
        <v>850</v>
      </c>
      <c r="H54" s="72" t="s">
        <v>826</v>
      </c>
      <c r="I54" s="72" t="s">
        <v>86</v>
      </c>
      <c r="K54" s="72" t="s">
        <v>851</v>
      </c>
      <c r="M54" s="150" t="s">
        <v>700</v>
      </c>
      <c r="N54" s="72" t="s">
        <v>715</v>
      </c>
      <c r="O54" s="72" t="s">
        <v>699</v>
      </c>
      <c r="P54" s="72" t="s">
        <v>709</v>
      </c>
      <c r="Q54" s="72" t="s">
        <v>702</v>
      </c>
      <c r="R54" s="72" t="s">
        <v>732</v>
      </c>
      <c r="S54" s="72" t="s">
        <v>701</v>
      </c>
      <c r="T54" s="72" t="s">
        <v>724</v>
      </c>
      <c r="BA54" s="147"/>
      <c r="BF54" s="147"/>
      <c r="BG54" s="83"/>
      <c r="BH54" s="73"/>
      <c r="BI54" s="147"/>
      <c r="BJ54" s="77"/>
      <c r="BK54" s="73"/>
      <c r="BL54" s="73"/>
      <c r="BM54" s="77"/>
      <c r="BN54" s="73"/>
      <c r="BO54" s="73"/>
      <c r="BP54" s="147"/>
      <c r="BQ54" s="83"/>
      <c r="BR54" s="73"/>
      <c r="BS54" s="77"/>
      <c r="BT54" s="147"/>
      <c r="BU54" s="77"/>
      <c r="BV54" s="77"/>
      <c r="BW54" s="83"/>
      <c r="BX54" s="73"/>
      <c r="BY54" s="77"/>
      <c r="BZ54" s="73"/>
      <c r="CA54" s="73"/>
      <c r="CB54" s="77"/>
      <c r="CC54" s="73"/>
      <c r="CD54" s="73"/>
      <c r="CE54" s="83"/>
      <c r="CF54" s="73"/>
      <c r="CG54" s="77"/>
      <c r="CH54" s="147"/>
      <c r="CI54" s="77"/>
      <c r="CJ54" s="77"/>
      <c r="CK54" s="83"/>
      <c r="CL54" s="73"/>
      <c r="CM54" s="77"/>
      <c r="CN54" s="73"/>
      <c r="CO54" s="73"/>
      <c r="CP54" s="77"/>
      <c r="CQ54" s="73"/>
      <c r="CR54" s="73"/>
      <c r="CS54" s="83"/>
      <c r="CT54" s="73"/>
      <c r="CU54" s="77"/>
      <c r="CV54" s="147"/>
      <c r="CW54" s="77"/>
      <c r="CX54" s="77"/>
      <c r="CY54" s="83"/>
      <c r="CZ54" s="73"/>
      <c r="DA54" s="77"/>
      <c r="DB54" s="73"/>
      <c r="DC54" s="73"/>
      <c r="DD54" s="77"/>
      <c r="DE54" s="73"/>
      <c r="DF54" s="73"/>
      <c r="DG54" s="83"/>
      <c r="DH54" s="73"/>
      <c r="DI54" s="77"/>
      <c r="DJ54" s="147"/>
      <c r="DK54" s="77"/>
      <c r="DL54" s="77"/>
      <c r="DM54" s="83"/>
      <c r="DN54" s="73"/>
      <c r="DO54" s="77"/>
      <c r="DP54" s="73"/>
      <c r="DQ54" s="73"/>
      <c r="DR54" s="77"/>
      <c r="DS54" s="73"/>
      <c r="DT54" s="73"/>
      <c r="DU54" s="83"/>
      <c r="DV54" s="73"/>
      <c r="DW54" s="77"/>
      <c r="DX54" s="147"/>
      <c r="DY54" s="77"/>
      <c r="DZ54" s="77"/>
      <c r="EA54" s="83"/>
      <c r="EB54" s="73"/>
      <c r="EC54" s="77"/>
      <c r="ED54" s="73"/>
      <c r="EE54" s="73"/>
      <c r="EF54" s="77"/>
      <c r="EG54" s="73"/>
      <c r="EH54" s="73"/>
      <c r="EI54" s="83"/>
      <c r="EJ54" s="73"/>
      <c r="EK54" s="77"/>
      <c r="EL54" s="147"/>
      <c r="EN54" s="74"/>
      <c r="EO54" s="73"/>
      <c r="ER54" s="75"/>
      <c r="ES54" s="76"/>
      <c r="ET54" s="77"/>
      <c r="EU54" s="77"/>
      <c r="EV54" s="78"/>
      <c r="FA54" s="172"/>
      <c r="FB54" s="163"/>
      <c r="FC54" s="172"/>
      <c r="FH54" s="147"/>
      <c r="FL54" s="71"/>
      <c r="FM54" s="71"/>
      <c r="FN54" s="71"/>
      <c r="FO54" s="71"/>
      <c r="FP54" s="71"/>
      <c r="FQ54" s="71"/>
      <c r="FR54" s="71"/>
      <c r="FS54" s="147"/>
      <c r="FW54" s="71"/>
      <c r="FX54" s="71"/>
      <c r="FY54" s="71"/>
      <c r="FZ54" s="71"/>
      <c r="GA54" s="71"/>
      <c r="GB54" s="71"/>
      <c r="GC54" s="71"/>
      <c r="GD54" s="71"/>
      <c r="GE54" s="71"/>
      <c r="GF54" s="71"/>
      <c r="GG54" s="71"/>
      <c r="GH54" s="71"/>
      <c r="GI54" s="71"/>
      <c r="GJ54" s="71"/>
      <c r="GK54" s="71"/>
      <c r="GL54" s="71"/>
      <c r="GM54" s="71"/>
      <c r="GN54" s="71"/>
      <c r="GO54" s="71"/>
      <c r="GP54" s="71"/>
      <c r="GQ54" s="71"/>
      <c r="GR54" s="71"/>
      <c r="GS54" s="71"/>
      <c r="GT54" s="71"/>
      <c r="GU54" s="71"/>
      <c r="GV54" s="71"/>
      <c r="GW54" s="71"/>
      <c r="GX54" s="71"/>
      <c r="GY54" s="71"/>
      <c r="GZ54" s="71"/>
      <c r="HA54" s="71"/>
      <c r="HB54" s="71"/>
      <c r="HC54" s="71"/>
      <c r="HD54" s="71"/>
      <c r="HM54" s="83" t="s">
        <v>852</v>
      </c>
      <c r="HN54" s="73" t="str">
        <f>mehrsprachigkeitBegriffsrückgabe(gewählteSpracheZurückgeben(), "Fixed price")</f>
        <v>Anpassung mit fixem Preis</v>
      </c>
      <c r="HW54" s="83" t="s">
        <v>852</v>
      </c>
      <c r="HX54" s="73" t="str">
        <f>mehrsprachigkeitBegriffsrückgabe(gewählteSpracheZurückgeben(), "Fixed price")</f>
        <v>Anpassung mit fixem Preis</v>
      </c>
      <c r="HY54" s="77">
        <v>1</v>
      </c>
      <c r="KT54" s="74">
        <v>0</v>
      </c>
      <c r="KU54" s="73" t="str">
        <f>mehrsprachigkeitBegriffsrückgabe(gewählteSpracheZurückgeben(), "Percent")</f>
        <v>Prozentuale Anpassung</v>
      </c>
      <c r="KX54" s="75">
        <v>0</v>
      </c>
      <c r="LH54" s="72" t="s">
        <v>767</v>
      </c>
      <c r="LI54" s="72" t="s">
        <v>744</v>
      </c>
    </row>
    <row r="55" spans="1:321" ht="15.95" customHeight="1" x14ac:dyDescent="0.25">
      <c r="B55" s="162"/>
      <c r="C55" s="162"/>
      <c r="D55" s="162"/>
      <c r="F55" s="71" t="str">
        <f>mehrsprachigkeitBegriffsrückgabe(gewählteSpracheZurückgeben(), "Variant (foreign language)")</f>
        <v>Variante (Fremdsprache)</v>
      </c>
      <c r="H55" s="72" t="s">
        <v>850</v>
      </c>
      <c r="I55" s="72" t="s">
        <v>94</v>
      </c>
      <c r="BA55" s="147"/>
      <c r="BF55" s="147"/>
      <c r="BG55" s="83"/>
      <c r="BH55" s="73"/>
      <c r="BI55" s="147"/>
      <c r="BJ55" s="77"/>
      <c r="BK55" s="73"/>
      <c r="BL55" s="73"/>
      <c r="BM55" s="77"/>
      <c r="BN55" s="73"/>
      <c r="BO55" s="73"/>
      <c r="BP55" s="147"/>
      <c r="BQ55" s="83"/>
      <c r="BR55" s="73"/>
      <c r="BS55" s="77"/>
      <c r="BT55" s="147"/>
      <c r="BU55" s="77"/>
      <c r="BV55" s="77"/>
      <c r="BW55" s="83"/>
      <c r="BX55" s="73"/>
      <c r="BY55" s="77"/>
      <c r="BZ55" s="73"/>
      <c r="CA55" s="73"/>
      <c r="CB55" s="77"/>
      <c r="CC55" s="73"/>
      <c r="CD55" s="73"/>
      <c r="CE55" s="83"/>
      <c r="CF55" s="73"/>
      <c r="CG55" s="77"/>
      <c r="CH55" s="147"/>
      <c r="CI55" s="77"/>
      <c r="CJ55" s="77"/>
      <c r="CK55" s="83"/>
      <c r="CL55" s="73"/>
      <c r="CM55" s="77"/>
      <c r="CN55" s="73"/>
      <c r="CO55" s="73"/>
      <c r="CP55" s="77"/>
      <c r="CQ55" s="73"/>
      <c r="CR55" s="73"/>
      <c r="CS55" s="83"/>
      <c r="CT55" s="73"/>
      <c r="CU55" s="77"/>
      <c r="CV55" s="147"/>
      <c r="CW55" s="77"/>
      <c r="CX55" s="77"/>
      <c r="CY55" s="83"/>
      <c r="CZ55" s="73"/>
      <c r="DA55" s="77"/>
      <c r="DB55" s="73"/>
      <c r="DC55" s="73"/>
      <c r="DD55" s="77"/>
      <c r="DE55" s="73"/>
      <c r="DF55" s="73"/>
      <c r="DG55" s="83"/>
      <c r="DH55" s="73"/>
      <c r="DI55" s="77"/>
      <c r="DJ55" s="147"/>
      <c r="DK55" s="77"/>
      <c r="DL55" s="77"/>
      <c r="DM55" s="83"/>
      <c r="DN55" s="73"/>
      <c r="DO55" s="77"/>
      <c r="DP55" s="73"/>
      <c r="DQ55" s="73"/>
      <c r="DR55" s="77"/>
      <c r="DS55" s="73"/>
      <c r="DT55" s="73"/>
      <c r="DU55" s="83"/>
      <c r="DV55" s="73"/>
      <c r="DW55" s="77"/>
      <c r="DX55" s="147"/>
      <c r="DY55" s="77"/>
      <c r="DZ55" s="77"/>
      <c r="EA55" s="83"/>
      <c r="EB55" s="73"/>
      <c r="EC55" s="77"/>
      <c r="ED55" s="73"/>
      <c r="EE55" s="73"/>
      <c r="EF55" s="77"/>
      <c r="EG55" s="73"/>
      <c r="EH55" s="73"/>
      <c r="EI55" s="83"/>
      <c r="EJ55" s="73"/>
      <c r="EK55" s="77"/>
      <c r="EL55" s="147"/>
      <c r="EN55" s="74"/>
      <c r="EO55" s="73"/>
      <c r="ER55" s="75"/>
      <c r="ES55" s="76"/>
      <c r="ET55" s="77"/>
      <c r="EU55" s="77"/>
      <c r="EV55" s="78"/>
      <c r="FA55" s="172"/>
      <c r="FB55" s="163"/>
      <c r="FC55" s="172"/>
      <c r="FH55" s="147"/>
      <c r="FL55" s="71"/>
      <c r="FM55" s="71"/>
      <c r="FN55" s="71"/>
      <c r="FO55" s="71"/>
      <c r="FP55" s="71"/>
      <c r="FQ55" s="71"/>
      <c r="FR55" s="71"/>
      <c r="FS55" s="147"/>
      <c r="FW55" s="71"/>
      <c r="FX55" s="71"/>
      <c r="FY55" s="71"/>
      <c r="FZ55" s="71"/>
      <c r="GA55" s="71"/>
      <c r="GB55" s="71"/>
      <c r="GC55" s="71"/>
      <c r="GD55" s="71"/>
      <c r="GE55" s="71"/>
      <c r="GF55" s="71"/>
      <c r="GG55" s="71"/>
      <c r="GH55" s="71"/>
      <c r="GI55" s="71"/>
      <c r="GJ55" s="71"/>
      <c r="GK55" s="71"/>
      <c r="GL55" s="71"/>
      <c r="GM55" s="71"/>
      <c r="GN55" s="71"/>
      <c r="GO55" s="71"/>
      <c r="GP55" s="71"/>
      <c r="GQ55" s="71"/>
      <c r="GR55" s="71"/>
      <c r="GS55" s="71"/>
      <c r="GT55" s="71"/>
      <c r="GU55" s="71"/>
      <c r="GV55" s="71"/>
      <c r="GW55" s="71"/>
      <c r="GX55" s="71"/>
      <c r="GY55" s="71"/>
      <c r="GZ55" s="71"/>
      <c r="HA55" s="71"/>
      <c r="HB55" s="71"/>
      <c r="HC55" s="71"/>
      <c r="HD55" s="71"/>
    </row>
    <row r="56" spans="1:321" ht="15.95" customHeight="1" x14ac:dyDescent="0.25">
      <c r="A56" s="71">
        <v>1280</v>
      </c>
      <c r="B56" s="162"/>
      <c r="C56" s="162"/>
      <c r="D56" s="162">
        <v>1</v>
      </c>
      <c r="F56" s="71" t="str">
        <f>mehrsprachigkeitBegriffsrückgabe(gewählteSpracheZurückgeben(), "Variant")</f>
        <v>Variante</v>
      </c>
      <c r="G56" s="72" t="s">
        <v>853</v>
      </c>
      <c r="H56" s="72" t="s">
        <v>826</v>
      </c>
      <c r="I56" s="72" t="s">
        <v>86</v>
      </c>
      <c r="M56" s="150" t="s">
        <v>700</v>
      </c>
      <c r="N56" s="72" t="s">
        <v>718</v>
      </c>
      <c r="O56" s="72" t="s">
        <v>699</v>
      </c>
      <c r="P56" s="72" t="s">
        <v>710</v>
      </c>
      <c r="Q56" s="72" t="s">
        <v>702</v>
      </c>
      <c r="R56" s="72" t="s">
        <v>730</v>
      </c>
      <c r="S56" s="72" t="s">
        <v>701</v>
      </c>
      <c r="T56" s="72" t="s">
        <v>721</v>
      </c>
      <c r="BA56" s="147"/>
      <c r="BF56" s="147"/>
      <c r="BG56" s="83"/>
      <c r="BH56" s="73"/>
      <c r="BI56" s="147"/>
      <c r="BJ56" s="77"/>
      <c r="BK56" s="73"/>
      <c r="BL56" s="73"/>
      <c r="BM56" s="77"/>
      <c r="BN56" s="73"/>
      <c r="BO56" s="73"/>
      <c r="BP56" s="147"/>
      <c r="BQ56" s="83"/>
      <c r="BR56" s="73"/>
      <c r="BS56" s="77"/>
      <c r="BT56" s="147"/>
      <c r="BU56" s="77"/>
      <c r="BV56" s="77"/>
      <c r="BW56" s="83"/>
      <c r="BX56" s="73"/>
      <c r="BY56" s="77"/>
      <c r="BZ56" s="73"/>
      <c r="CA56" s="73"/>
      <c r="CB56" s="77"/>
      <c r="CC56" s="73"/>
      <c r="CD56" s="73"/>
      <c r="CE56" s="83"/>
      <c r="CF56" s="73"/>
      <c r="CG56" s="77"/>
      <c r="CH56" s="147"/>
      <c r="CI56" s="77"/>
      <c r="CJ56" s="77"/>
      <c r="CK56" s="83"/>
      <c r="CL56" s="73"/>
      <c r="CM56" s="77"/>
      <c r="CN56" s="73"/>
      <c r="CO56" s="73"/>
      <c r="CP56" s="77"/>
      <c r="CQ56" s="73"/>
      <c r="CR56" s="73"/>
      <c r="CS56" s="83"/>
      <c r="CT56" s="73"/>
      <c r="CU56" s="77"/>
      <c r="CV56" s="147"/>
      <c r="CW56" s="77"/>
      <c r="CX56" s="77"/>
      <c r="CY56" s="83"/>
      <c r="CZ56" s="73"/>
      <c r="DA56" s="77"/>
      <c r="DB56" s="73"/>
      <c r="DC56" s="73"/>
      <c r="DD56" s="77"/>
      <c r="DE56" s="73"/>
      <c r="DF56" s="73"/>
      <c r="DG56" s="83"/>
      <c r="DH56" s="73"/>
      <c r="DI56" s="77"/>
      <c r="DJ56" s="147"/>
      <c r="DK56" s="77"/>
      <c r="DL56" s="77"/>
      <c r="DM56" s="83"/>
      <c r="DN56" s="73"/>
      <c r="DO56" s="77"/>
      <c r="DP56" s="73"/>
      <c r="DQ56" s="73"/>
      <c r="DR56" s="77"/>
      <c r="DS56" s="73"/>
      <c r="DT56" s="73"/>
      <c r="DU56" s="83"/>
      <c r="DV56" s="73"/>
      <c r="DW56" s="77"/>
      <c r="DX56" s="147"/>
      <c r="DY56" s="77"/>
      <c r="DZ56" s="77"/>
      <c r="EA56" s="83"/>
      <c r="EB56" s="73"/>
      <c r="EC56" s="77"/>
      <c r="ED56" s="73"/>
      <c r="EE56" s="73"/>
      <c r="EF56" s="77"/>
      <c r="EG56" s="73"/>
      <c r="EH56" s="73"/>
      <c r="EI56" s="83"/>
      <c r="EJ56" s="73"/>
      <c r="EK56" s="77"/>
      <c r="EL56" s="147"/>
      <c r="EN56" s="74"/>
      <c r="EO56" s="73"/>
      <c r="ER56" s="75"/>
      <c r="ES56" s="76"/>
      <c r="ET56" s="77"/>
      <c r="EU56" s="77"/>
      <c r="EV56" s="78"/>
      <c r="FA56" s="172"/>
      <c r="FB56" s="163"/>
      <c r="FC56" s="172"/>
      <c r="FH56" s="147"/>
      <c r="FL56" s="71"/>
      <c r="FM56" s="71"/>
      <c r="FN56" s="71"/>
      <c r="FO56" s="71"/>
      <c r="FP56" s="71"/>
      <c r="FQ56" s="71"/>
      <c r="FR56" s="71"/>
      <c r="FS56" s="147"/>
      <c r="FW56" s="71"/>
      <c r="FX56" s="71"/>
      <c r="FY56" s="71"/>
      <c r="FZ56" s="71"/>
      <c r="GA56" s="71"/>
      <c r="GB56" s="71"/>
      <c r="GC56" s="71"/>
      <c r="GD56" s="71"/>
      <c r="GE56" s="71"/>
      <c r="GF56" s="71"/>
      <c r="GG56" s="71"/>
      <c r="GH56" s="71"/>
      <c r="GI56" s="71"/>
      <c r="GJ56" s="71"/>
      <c r="GK56" s="71"/>
      <c r="GL56" s="71"/>
      <c r="GM56" s="71"/>
      <c r="GN56" s="71"/>
      <c r="GO56" s="71"/>
      <c r="GP56" s="71"/>
      <c r="GQ56" s="71"/>
      <c r="GR56" s="71"/>
      <c r="GS56" s="71"/>
      <c r="GT56" s="71"/>
      <c r="GU56" s="71"/>
      <c r="GV56" s="71"/>
      <c r="GW56" s="71"/>
      <c r="GX56" s="71"/>
      <c r="GY56" s="71"/>
      <c r="GZ56" s="71"/>
      <c r="HA56" s="71"/>
      <c r="HB56" s="71"/>
      <c r="HC56" s="71"/>
      <c r="HD56" s="71"/>
      <c r="HM56" s="83" t="s">
        <v>852</v>
      </c>
      <c r="HN56" s="73" t="str">
        <f>mehrsprachigkeitBegriffsrückgabe(gewählteSpracheZurückgeben(), "Fixed price")</f>
        <v>Anpassung mit fixem Preis</v>
      </c>
      <c r="HW56" s="83" t="s">
        <v>852</v>
      </c>
      <c r="HX56" s="73" t="str">
        <f>mehrsprachigkeitBegriffsrückgabe(gewählteSpracheZurückgeben(), "Fixed price")</f>
        <v>Anpassung mit fixem Preis</v>
      </c>
      <c r="HY56" s="77">
        <v>1</v>
      </c>
      <c r="KT56" s="74">
        <v>0</v>
      </c>
      <c r="KU56" s="73" t="str">
        <f>mehrsprachigkeitBegriffsrückgabe(gewählteSpracheZurückgeben(), "Percent")</f>
        <v>Prozentuale Anpassung</v>
      </c>
      <c r="KX56" s="75">
        <v>0</v>
      </c>
      <c r="LH56" s="72" t="s">
        <v>767</v>
      </c>
      <c r="LI56" s="72" t="s">
        <v>744</v>
      </c>
    </row>
    <row r="57" spans="1:321" ht="15.95" customHeight="1" x14ac:dyDescent="0.25">
      <c r="B57" s="162"/>
      <c r="C57" s="162"/>
      <c r="D57" s="162"/>
      <c r="F57" s="71" t="str">
        <f>mehrsprachigkeitBegriffsrückgabe(gewählteSpracheZurückgeben(), "Variant (foreign language)")</f>
        <v>Variante (Fremdsprache)</v>
      </c>
      <c r="H57" s="72" t="s">
        <v>853</v>
      </c>
      <c r="I57" s="72" t="s">
        <v>94</v>
      </c>
      <c r="BA57" s="147"/>
      <c r="BF57" s="147"/>
      <c r="BG57" s="83"/>
      <c r="BH57" s="73"/>
      <c r="BI57" s="147"/>
      <c r="BJ57" s="77"/>
      <c r="BK57" s="73"/>
      <c r="BL57" s="73"/>
      <c r="BM57" s="77"/>
      <c r="BN57" s="73"/>
      <c r="BO57" s="73"/>
      <c r="BP57" s="147"/>
      <c r="BQ57" s="83"/>
      <c r="BR57" s="73"/>
      <c r="BS57" s="77"/>
      <c r="BT57" s="147"/>
      <c r="BU57" s="77"/>
      <c r="BV57" s="77"/>
      <c r="BW57" s="83"/>
      <c r="BX57" s="73"/>
      <c r="BY57" s="77"/>
      <c r="BZ57" s="73"/>
      <c r="CA57" s="73"/>
      <c r="CB57" s="77"/>
      <c r="CC57" s="73"/>
      <c r="CD57" s="73"/>
      <c r="CE57" s="83"/>
      <c r="CF57" s="73"/>
      <c r="CG57" s="77"/>
      <c r="CH57" s="147"/>
      <c r="CI57" s="77"/>
      <c r="CJ57" s="77"/>
      <c r="CK57" s="83"/>
      <c r="CL57" s="73"/>
      <c r="CM57" s="77"/>
      <c r="CN57" s="73"/>
      <c r="CO57" s="73"/>
      <c r="CP57" s="77"/>
      <c r="CQ57" s="73"/>
      <c r="CR57" s="73"/>
      <c r="CS57" s="83"/>
      <c r="CT57" s="73"/>
      <c r="CU57" s="77"/>
      <c r="CV57" s="147"/>
      <c r="CW57" s="77"/>
      <c r="CX57" s="77"/>
      <c r="CY57" s="83"/>
      <c r="CZ57" s="73"/>
      <c r="DA57" s="77"/>
      <c r="DB57" s="73"/>
      <c r="DC57" s="73"/>
      <c r="DD57" s="77"/>
      <c r="DE57" s="73"/>
      <c r="DF57" s="73"/>
      <c r="DG57" s="83"/>
      <c r="DH57" s="73"/>
      <c r="DI57" s="77"/>
      <c r="DJ57" s="147"/>
      <c r="DK57" s="77"/>
      <c r="DL57" s="77"/>
      <c r="DM57" s="83"/>
      <c r="DN57" s="73"/>
      <c r="DO57" s="77"/>
      <c r="DP57" s="73"/>
      <c r="DQ57" s="73"/>
      <c r="DR57" s="77"/>
      <c r="DS57" s="73"/>
      <c r="DT57" s="73"/>
      <c r="DU57" s="83"/>
      <c r="DV57" s="73"/>
      <c r="DW57" s="77"/>
      <c r="DX57" s="147"/>
      <c r="DY57" s="77"/>
      <c r="DZ57" s="77"/>
      <c r="EA57" s="83"/>
      <c r="EB57" s="73"/>
      <c r="EC57" s="77"/>
      <c r="ED57" s="73"/>
      <c r="EE57" s="73"/>
      <c r="EF57" s="77"/>
      <c r="EG57" s="73"/>
      <c r="EH57" s="73"/>
      <c r="EI57" s="83"/>
      <c r="EJ57" s="73"/>
      <c r="EK57" s="77"/>
      <c r="EL57" s="147"/>
      <c r="EN57" s="74"/>
      <c r="EO57" s="73"/>
      <c r="ER57" s="75"/>
      <c r="ES57" s="76"/>
      <c r="ET57" s="77"/>
      <c r="EU57" s="77"/>
      <c r="EV57" s="78"/>
      <c r="FA57" s="172"/>
      <c r="FB57" s="163"/>
      <c r="FC57" s="172"/>
      <c r="FH57" s="147"/>
      <c r="FL57" s="71"/>
      <c r="FM57" s="71"/>
      <c r="FN57" s="71"/>
      <c r="FO57" s="71"/>
      <c r="FP57" s="71"/>
      <c r="FQ57" s="71"/>
      <c r="FR57" s="71"/>
      <c r="FS57" s="147"/>
      <c r="FW57" s="71"/>
      <c r="FX57" s="71"/>
      <c r="FY57" s="71"/>
      <c r="FZ57" s="71"/>
      <c r="GA57" s="71"/>
      <c r="GB57" s="71"/>
      <c r="GC57" s="71"/>
      <c r="GD57" s="71"/>
      <c r="GE57" s="71"/>
      <c r="GF57" s="71"/>
      <c r="GG57" s="71"/>
      <c r="GH57" s="71"/>
      <c r="GI57" s="71"/>
      <c r="GJ57" s="71"/>
      <c r="GK57" s="71"/>
      <c r="GL57" s="71"/>
      <c r="GM57" s="71"/>
      <c r="GN57" s="71"/>
      <c r="GO57" s="71"/>
      <c r="GP57" s="71"/>
      <c r="GQ57" s="71"/>
      <c r="GR57" s="71"/>
      <c r="GS57" s="71"/>
      <c r="GT57" s="71"/>
      <c r="GU57" s="71"/>
      <c r="GV57" s="71"/>
      <c r="GW57" s="71"/>
      <c r="GX57" s="71"/>
      <c r="GY57" s="71"/>
      <c r="GZ57" s="71"/>
      <c r="HA57" s="71"/>
      <c r="HB57" s="71"/>
      <c r="HC57" s="71"/>
      <c r="HD57" s="71"/>
    </row>
    <row r="58" spans="1:321" ht="15.95" customHeight="1" x14ac:dyDescent="0.25">
      <c r="A58" s="71">
        <v>1408</v>
      </c>
      <c r="B58" s="162"/>
      <c r="C58" s="162"/>
      <c r="D58" s="162">
        <v>1</v>
      </c>
      <c r="F58" s="71" t="str">
        <f>mehrsprachigkeitBegriffsrückgabe(gewählteSpracheZurückgeben(), "Variant")</f>
        <v>Variante</v>
      </c>
      <c r="G58" s="72" t="s">
        <v>854</v>
      </c>
      <c r="H58" s="72" t="s">
        <v>826</v>
      </c>
      <c r="I58" s="72" t="s">
        <v>86</v>
      </c>
      <c r="M58" s="150" t="s">
        <v>700</v>
      </c>
      <c r="N58" s="72" t="s">
        <v>713</v>
      </c>
      <c r="O58" s="72" t="s">
        <v>699</v>
      </c>
      <c r="P58" s="72" t="s">
        <v>524</v>
      </c>
      <c r="Q58" s="72" t="s">
        <v>702</v>
      </c>
      <c r="R58" s="72" t="s">
        <v>730</v>
      </c>
      <c r="S58" s="72" t="s">
        <v>701</v>
      </c>
      <c r="T58" s="72" t="s">
        <v>721</v>
      </c>
      <c r="BA58" s="147"/>
      <c r="BF58" s="147"/>
      <c r="BG58" s="83"/>
      <c r="BH58" s="73"/>
      <c r="BI58" s="147"/>
      <c r="BJ58" s="77"/>
      <c r="BK58" s="73"/>
      <c r="BL58" s="73"/>
      <c r="BM58" s="77"/>
      <c r="BN58" s="73"/>
      <c r="BO58" s="73"/>
      <c r="BP58" s="147"/>
      <c r="BQ58" s="83"/>
      <c r="BR58" s="73"/>
      <c r="BS58" s="77"/>
      <c r="BT58" s="147"/>
      <c r="BU58" s="77"/>
      <c r="BV58" s="77"/>
      <c r="BW58" s="83"/>
      <c r="BX58" s="73"/>
      <c r="BY58" s="77"/>
      <c r="BZ58" s="73"/>
      <c r="CA58" s="73"/>
      <c r="CB58" s="77"/>
      <c r="CC58" s="73"/>
      <c r="CD58" s="73"/>
      <c r="CE58" s="83"/>
      <c r="CF58" s="73"/>
      <c r="CG58" s="77"/>
      <c r="CH58" s="147"/>
      <c r="CI58" s="77"/>
      <c r="CJ58" s="77"/>
      <c r="CK58" s="83"/>
      <c r="CL58" s="73"/>
      <c r="CM58" s="77"/>
      <c r="CN58" s="73"/>
      <c r="CO58" s="73"/>
      <c r="CP58" s="77"/>
      <c r="CQ58" s="73"/>
      <c r="CR58" s="73"/>
      <c r="CS58" s="83"/>
      <c r="CT58" s="73"/>
      <c r="CU58" s="77"/>
      <c r="CV58" s="147"/>
      <c r="CW58" s="77"/>
      <c r="CX58" s="77"/>
      <c r="CY58" s="83"/>
      <c r="CZ58" s="73"/>
      <c r="DA58" s="77"/>
      <c r="DB58" s="73"/>
      <c r="DC58" s="73"/>
      <c r="DD58" s="77"/>
      <c r="DE58" s="73"/>
      <c r="DF58" s="73"/>
      <c r="DG58" s="83"/>
      <c r="DH58" s="73"/>
      <c r="DI58" s="77"/>
      <c r="DJ58" s="147"/>
      <c r="DK58" s="77"/>
      <c r="DL58" s="77"/>
      <c r="DM58" s="83"/>
      <c r="DN58" s="73"/>
      <c r="DO58" s="77"/>
      <c r="DP58" s="73"/>
      <c r="DQ58" s="73"/>
      <c r="DR58" s="77"/>
      <c r="DS58" s="73"/>
      <c r="DT58" s="73"/>
      <c r="DU58" s="83"/>
      <c r="DV58" s="73"/>
      <c r="DW58" s="77"/>
      <c r="DX58" s="147"/>
      <c r="DY58" s="77"/>
      <c r="DZ58" s="77"/>
      <c r="EA58" s="83"/>
      <c r="EB58" s="73"/>
      <c r="EC58" s="77"/>
      <c r="ED58" s="73"/>
      <c r="EE58" s="73"/>
      <c r="EF58" s="77"/>
      <c r="EG58" s="73"/>
      <c r="EH58" s="73"/>
      <c r="EI58" s="83"/>
      <c r="EJ58" s="73"/>
      <c r="EK58" s="77"/>
      <c r="EL58" s="147"/>
      <c r="EN58" s="74"/>
      <c r="EO58" s="73"/>
      <c r="ER58" s="75"/>
      <c r="ES58" s="76"/>
      <c r="ET58" s="77"/>
      <c r="EU58" s="77"/>
      <c r="EV58" s="78"/>
      <c r="FA58" s="172"/>
      <c r="FB58" s="163"/>
      <c r="FC58" s="172"/>
      <c r="FH58" s="147"/>
      <c r="FL58" s="71"/>
      <c r="FM58" s="71"/>
      <c r="FN58" s="71"/>
      <c r="FO58" s="71"/>
      <c r="FP58" s="71"/>
      <c r="FQ58" s="71"/>
      <c r="FR58" s="71"/>
      <c r="FS58" s="147"/>
      <c r="FW58" s="71"/>
      <c r="FX58" s="71"/>
      <c r="FY58" s="71"/>
      <c r="FZ58" s="71"/>
      <c r="GA58" s="71"/>
      <c r="GB58" s="71"/>
      <c r="GC58" s="71"/>
      <c r="GD58" s="71"/>
      <c r="GE58" s="71"/>
      <c r="GF58" s="71"/>
      <c r="GG58" s="71"/>
      <c r="GH58" s="71"/>
      <c r="GI58" s="71"/>
      <c r="GJ58" s="71"/>
      <c r="GK58" s="71"/>
      <c r="GL58" s="71"/>
      <c r="GM58" s="71"/>
      <c r="GN58" s="71"/>
      <c r="GO58" s="71"/>
      <c r="GP58" s="71"/>
      <c r="GQ58" s="71"/>
      <c r="GR58" s="71"/>
      <c r="GS58" s="71"/>
      <c r="GT58" s="71"/>
      <c r="GU58" s="71"/>
      <c r="GV58" s="71"/>
      <c r="GW58" s="71"/>
      <c r="GX58" s="71"/>
      <c r="GY58" s="71"/>
      <c r="GZ58" s="71"/>
      <c r="HA58" s="71"/>
      <c r="HB58" s="71"/>
      <c r="HC58" s="71"/>
      <c r="HD58" s="71"/>
      <c r="HM58" s="83" t="s">
        <v>852</v>
      </c>
      <c r="HN58" s="73" t="str">
        <f>mehrsprachigkeitBegriffsrückgabe(gewählteSpracheZurückgeben(), "Fixed price")</f>
        <v>Anpassung mit fixem Preis</v>
      </c>
      <c r="HW58" s="83" t="s">
        <v>852</v>
      </c>
      <c r="HX58" s="73" t="str">
        <f>mehrsprachigkeitBegriffsrückgabe(gewählteSpracheZurückgeben(), "Fixed price")</f>
        <v>Anpassung mit fixem Preis</v>
      </c>
      <c r="HY58" s="77">
        <v>1</v>
      </c>
      <c r="KT58" s="74">
        <v>0</v>
      </c>
      <c r="KU58" s="73" t="str">
        <f>mehrsprachigkeitBegriffsrückgabe(gewählteSpracheZurückgeben(), "Percent")</f>
        <v>Prozentuale Anpassung</v>
      </c>
      <c r="KX58" s="75">
        <v>0</v>
      </c>
      <c r="LH58" s="72" t="s">
        <v>767</v>
      </c>
      <c r="LI58" s="72" t="s">
        <v>744</v>
      </c>
    </row>
    <row r="59" spans="1:321" ht="15.95" customHeight="1" x14ac:dyDescent="0.25">
      <c r="B59" s="162"/>
      <c r="C59" s="162"/>
      <c r="D59" s="162"/>
      <c r="F59" s="71" t="str">
        <f>mehrsprachigkeitBegriffsrückgabe(gewählteSpracheZurückgeben(), "Variant (foreign language)")</f>
        <v>Variante (Fremdsprache)</v>
      </c>
      <c r="H59" s="72" t="s">
        <v>854</v>
      </c>
      <c r="I59" s="72" t="s">
        <v>94</v>
      </c>
      <c r="BA59" s="147"/>
      <c r="BF59" s="147"/>
      <c r="BG59" s="83"/>
      <c r="BH59" s="73"/>
      <c r="BI59" s="147"/>
      <c r="BJ59" s="77"/>
      <c r="BK59" s="73"/>
      <c r="BL59" s="73"/>
      <c r="BM59" s="77"/>
      <c r="BN59" s="73"/>
      <c r="BO59" s="73"/>
      <c r="BP59" s="147"/>
      <c r="BQ59" s="83"/>
      <c r="BR59" s="73"/>
      <c r="BS59" s="77"/>
      <c r="BT59" s="147"/>
      <c r="BU59" s="77"/>
      <c r="BV59" s="77"/>
      <c r="BW59" s="83"/>
      <c r="BX59" s="73"/>
      <c r="BY59" s="77"/>
      <c r="BZ59" s="73"/>
      <c r="CA59" s="73"/>
      <c r="CB59" s="77"/>
      <c r="CC59" s="73"/>
      <c r="CD59" s="73"/>
      <c r="CE59" s="83"/>
      <c r="CF59" s="73"/>
      <c r="CG59" s="77"/>
      <c r="CH59" s="147"/>
      <c r="CI59" s="77"/>
      <c r="CJ59" s="77"/>
      <c r="CK59" s="83"/>
      <c r="CL59" s="73"/>
      <c r="CM59" s="77"/>
      <c r="CN59" s="73"/>
      <c r="CO59" s="73"/>
      <c r="CP59" s="77"/>
      <c r="CQ59" s="73"/>
      <c r="CR59" s="73"/>
      <c r="CS59" s="83"/>
      <c r="CT59" s="73"/>
      <c r="CU59" s="77"/>
      <c r="CV59" s="147"/>
      <c r="CW59" s="77"/>
      <c r="CX59" s="77"/>
      <c r="CY59" s="83"/>
      <c r="CZ59" s="73"/>
      <c r="DA59" s="77"/>
      <c r="DB59" s="73"/>
      <c r="DC59" s="73"/>
      <c r="DD59" s="77"/>
      <c r="DE59" s="73"/>
      <c r="DF59" s="73"/>
      <c r="DG59" s="83"/>
      <c r="DH59" s="73"/>
      <c r="DI59" s="77"/>
      <c r="DJ59" s="147"/>
      <c r="DK59" s="77"/>
      <c r="DL59" s="77"/>
      <c r="DM59" s="83"/>
      <c r="DN59" s="73"/>
      <c r="DO59" s="77"/>
      <c r="DP59" s="73"/>
      <c r="DQ59" s="73"/>
      <c r="DR59" s="77"/>
      <c r="DS59" s="73"/>
      <c r="DT59" s="73"/>
      <c r="DU59" s="83"/>
      <c r="DV59" s="73"/>
      <c r="DW59" s="77"/>
      <c r="DX59" s="147"/>
      <c r="DY59" s="77"/>
      <c r="DZ59" s="77"/>
      <c r="EA59" s="83"/>
      <c r="EB59" s="73"/>
      <c r="EC59" s="77"/>
      <c r="ED59" s="73"/>
      <c r="EE59" s="73"/>
      <c r="EF59" s="77"/>
      <c r="EG59" s="73"/>
      <c r="EH59" s="73"/>
      <c r="EI59" s="83"/>
      <c r="EJ59" s="73"/>
      <c r="EK59" s="77"/>
      <c r="EL59" s="147"/>
      <c r="EN59" s="74"/>
      <c r="EO59" s="73"/>
      <c r="ER59" s="75"/>
      <c r="ES59" s="76"/>
      <c r="ET59" s="77"/>
      <c r="EU59" s="77"/>
      <c r="EV59" s="78"/>
      <c r="FA59" s="172"/>
      <c r="FB59" s="163"/>
      <c r="FC59" s="172"/>
      <c r="FH59" s="147"/>
      <c r="FL59" s="71"/>
      <c r="FM59" s="71"/>
      <c r="FN59" s="71"/>
      <c r="FO59" s="71"/>
      <c r="FP59" s="71"/>
      <c r="FQ59" s="71"/>
      <c r="FR59" s="71"/>
      <c r="FS59" s="147"/>
      <c r="FW59" s="71"/>
      <c r="FX59" s="71"/>
      <c r="FY59" s="71"/>
      <c r="FZ59" s="71"/>
      <c r="GA59" s="71"/>
      <c r="GB59" s="71"/>
      <c r="GC59" s="71"/>
      <c r="GD59" s="71"/>
      <c r="GE59" s="71"/>
      <c r="GF59" s="71"/>
      <c r="GG59" s="71"/>
      <c r="GH59" s="71"/>
      <c r="GI59" s="71"/>
      <c r="GJ59" s="71"/>
      <c r="GK59" s="71"/>
      <c r="GL59" s="71"/>
      <c r="GM59" s="71"/>
      <c r="GN59" s="71"/>
      <c r="GO59" s="71"/>
      <c r="GP59" s="71"/>
      <c r="GQ59" s="71"/>
      <c r="GR59" s="71"/>
      <c r="GS59" s="71"/>
      <c r="GT59" s="71"/>
      <c r="GU59" s="71"/>
      <c r="GV59" s="71"/>
      <c r="GW59" s="71"/>
      <c r="GX59" s="71"/>
      <c r="GY59" s="71"/>
      <c r="GZ59" s="71"/>
      <c r="HA59" s="71"/>
      <c r="HB59" s="71"/>
      <c r="HC59" s="71"/>
      <c r="HD59" s="71"/>
    </row>
    <row r="60" spans="1:321" ht="15.95" customHeight="1" x14ac:dyDescent="0.25">
      <c r="A60" s="71">
        <v>1536</v>
      </c>
      <c r="B60" s="162"/>
      <c r="C60" s="162"/>
      <c r="D60" s="162">
        <v>1</v>
      </c>
      <c r="F60" s="71" t="str">
        <f>mehrsprachigkeitBegriffsrückgabe(gewählteSpracheZurückgeben(), "Variant")</f>
        <v>Variante</v>
      </c>
      <c r="G60" s="72" t="s">
        <v>855</v>
      </c>
      <c r="H60" s="72" t="s">
        <v>826</v>
      </c>
      <c r="I60" s="72" t="s">
        <v>86</v>
      </c>
      <c r="M60" s="150" t="s">
        <v>700</v>
      </c>
      <c r="N60" s="72" t="s">
        <v>715</v>
      </c>
      <c r="O60" s="72" t="s">
        <v>699</v>
      </c>
      <c r="P60" s="72" t="s">
        <v>709</v>
      </c>
      <c r="Q60" s="72" t="s">
        <v>702</v>
      </c>
      <c r="R60" s="72" t="s">
        <v>730</v>
      </c>
      <c r="S60" s="72" t="s">
        <v>701</v>
      </c>
      <c r="T60" s="72" t="s">
        <v>721</v>
      </c>
      <c r="BA60" s="147"/>
      <c r="BF60" s="147"/>
      <c r="BG60" s="83"/>
      <c r="BH60" s="73"/>
      <c r="BI60" s="147"/>
      <c r="BJ60" s="77"/>
      <c r="BK60" s="73"/>
      <c r="BL60" s="73"/>
      <c r="BM60" s="77"/>
      <c r="BN60" s="73"/>
      <c r="BO60" s="73"/>
      <c r="BP60" s="147"/>
      <c r="BQ60" s="83"/>
      <c r="BR60" s="73"/>
      <c r="BS60" s="77"/>
      <c r="BT60" s="147"/>
      <c r="BU60" s="77"/>
      <c r="BV60" s="77"/>
      <c r="BW60" s="83"/>
      <c r="BX60" s="73"/>
      <c r="BY60" s="77"/>
      <c r="BZ60" s="73"/>
      <c r="CA60" s="73"/>
      <c r="CB60" s="77"/>
      <c r="CC60" s="73"/>
      <c r="CD60" s="73"/>
      <c r="CE60" s="83"/>
      <c r="CF60" s="73"/>
      <c r="CG60" s="77"/>
      <c r="CH60" s="147"/>
      <c r="CI60" s="77"/>
      <c r="CJ60" s="77"/>
      <c r="CK60" s="83"/>
      <c r="CL60" s="73"/>
      <c r="CM60" s="77"/>
      <c r="CN60" s="73"/>
      <c r="CO60" s="73"/>
      <c r="CP60" s="77"/>
      <c r="CQ60" s="73"/>
      <c r="CR60" s="73"/>
      <c r="CS60" s="83"/>
      <c r="CT60" s="73"/>
      <c r="CU60" s="77"/>
      <c r="CV60" s="147"/>
      <c r="CW60" s="77"/>
      <c r="CX60" s="77"/>
      <c r="CY60" s="83"/>
      <c r="CZ60" s="73"/>
      <c r="DA60" s="77"/>
      <c r="DB60" s="73"/>
      <c r="DC60" s="73"/>
      <c r="DD60" s="77"/>
      <c r="DE60" s="73"/>
      <c r="DF60" s="73"/>
      <c r="DG60" s="83"/>
      <c r="DH60" s="73"/>
      <c r="DI60" s="77"/>
      <c r="DJ60" s="147"/>
      <c r="DK60" s="77"/>
      <c r="DL60" s="77"/>
      <c r="DM60" s="83"/>
      <c r="DN60" s="73"/>
      <c r="DO60" s="77"/>
      <c r="DP60" s="73"/>
      <c r="DQ60" s="73"/>
      <c r="DR60" s="77"/>
      <c r="DS60" s="73"/>
      <c r="DT60" s="73"/>
      <c r="DU60" s="83"/>
      <c r="DV60" s="73"/>
      <c r="DW60" s="77"/>
      <c r="DX60" s="147"/>
      <c r="DY60" s="77"/>
      <c r="DZ60" s="77"/>
      <c r="EA60" s="83"/>
      <c r="EB60" s="73"/>
      <c r="EC60" s="77"/>
      <c r="ED60" s="73"/>
      <c r="EE60" s="73"/>
      <c r="EF60" s="77"/>
      <c r="EG60" s="73"/>
      <c r="EH60" s="73"/>
      <c r="EI60" s="83"/>
      <c r="EJ60" s="73"/>
      <c r="EK60" s="77"/>
      <c r="EL60" s="147"/>
      <c r="EN60" s="74"/>
      <c r="EO60" s="73"/>
      <c r="ER60" s="75"/>
      <c r="ES60" s="76"/>
      <c r="ET60" s="77"/>
      <c r="EU60" s="77"/>
      <c r="EV60" s="78"/>
      <c r="FA60" s="172"/>
      <c r="FB60" s="163"/>
      <c r="FC60" s="172"/>
      <c r="FH60" s="147"/>
      <c r="FL60" s="71"/>
      <c r="FM60" s="71"/>
      <c r="FN60" s="71"/>
      <c r="FO60" s="71"/>
      <c r="FP60" s="71"/>
      <c r="FQ60" s="71"/>
      <c r="FR60" s="71"/>
      <c r="FS60" s="147"/>
      <c r="FW60" s="71"/>
      <c r="FX60" s="71"/>
      <c r="FY60" s="71"/>
      <c r="FZ60" s="71"/>
      <c r="GA60" s="71"/>
      <c r="GB60" s="71"/>
      <c r="GC60" s="71"/>
      <c r="GD60" s="71"/>
      <c r="GE60" s="71"/>
      <c r="GF60" s="71"/>
      <c r="GG60" s="71"/>
      <c r="GH60" s="71"/>
      <c r="GI60" s="71"/>
      <c r="GJ60" s="71"/>
      <c r="GK60" s="71"/>
      <c r="GL60" s="71"/>
      <c r="GM60" s="71"/>
      <c r="GN60" s="71"/>
      <c r="GO60" s="71"/>
      <c r="GP60" s="71"/>
      <c r="GQ60" s="71"/>
      <c r="GR60" s="71"/>
      <c r="GS60" s="71"/>
      <c r="GT60" s="71"/>
      <c r="GU60" s="71"/>
      <c r="GV60" s="71"/>
      <c r="GW60" s="71"/>
      <c r="GX60" s="71"/>
      <c r="GY60" s="71"/>
      <c r="GZ60" s="71"/>
      <c r="HA60" s="71"/>
      <c r="HB60" s="71"/>
      <c r="HC60" s="71"/>
      <c r="HD60" s="71"/>
      <c r="HM60" s="83" t="s">
        <v>852</v>
      </c>
      <c r="HN60" s="73" t="str">
        <f>mehrsprachigkeitBegriffsrückgabe(gewählteSpracheZurückgeben(), "Fixed price")</f>
        <v>Anpassung mit fixem Preis</v>
      </c>
      <c r="HW60" s="83" t="s">
        <v>852</v>
      </c>
      <c r="HX60" s="73" t="str">
        <f>mehrsprachigkeitBegriffsrückgabe(gewählteSpracheZurückgeben(), "Fixed price")</f>
        <v>Anpassung mit fixem Preis</v>
      </c>
      <c r="HY60" s="77">
        <v>1</v>
      </c>
      <c r="KT60" s="74">
        <v>0</v>
      </c>
      <c r="KU60" s="73" t="str">
        <f>mehrsprachigkeitBegriffsrückgabe(gewählteSpracheZurückgeben(), "Percent")</f>
        <v>Prozentuale Anpassung</v>
      </c>
      <c r="KX60" s="75">
        <v>0</v>
      </c>
      <c r="LH60" s="72" t="s">
        <v>767</v>
      </c>
      <c r="LI60" s="72" t="s">
        <v>744</v>
      </c>
    </row>
    <row r="61" spans="1:321" ht="15.95" customHeight="1" x14ac:dyDescent="0.25">
      <c r="B61" s="162"/>
      <c r="C61" s="162"/>
      <c r="D61" s="162"/>
      <c r="F61" s="71" t="str">
        <f>mehrsprachigkeitBegriffsrückgabe(gewählteSpracheZurückgeben(), "Variant (foreign language)")</f>
        <v>Variante (Fremdsprache)</v>
      </c>
      <c r="H61" s="72" t="s">
        <v>855</v>
      </c>
      <c r="I61" s="72" t="s">
        <v>94</v>
      </c>
      <c r="BA61" s="147"/>
      <c r="BF61" s="147"/>
      <c r="BG61" s="83"/>
      <c r="BH61" s="73"/>
      <c r="BI61" s="147"/>
      <c r="BJ61" s="77"/>
      <c r="BK61" s="73"/>
      <c r="BL61" s="73"/>
      <c r="BM61" s="77"/>
      <c r="BN61" s="73"/>
      <c r="BO61" s="73"/>
      <c r="BP61" s="147"/>
      <c r="BQ61" s="83"/>
      <c r="BR61" s="73"/>
      <c r="BS61" s="77"/>
      <c r="BT61" s="147"/>
      <c r="BU61" s="77"/>
      <c r="BV61" s="77"/>
      <c r="BW61" s="83"/>
      <c r="BX61" s="73"/>
      <c r="BY61" s="77"/>
      <c r="BZ61" s="73"/>
      <c r="CA61" s="73"/>
      <c r="CB61" s="77"/>
      <c r="CC61" s="73"/>
      <c r="CD61" s="73"/>
      <c r="CE61" s="83"/>
      <c r="CF61" s="73"/>
      <c r="CG61" s="77"/>
      <c r="CH61" s="147"/>
      <c r="CI61" s="77"/>
      <c r="CJ61" s="77"/>
      <c r="CK61" s="83"/>
      <c r="CL61" s="73"/>
      <c r="CM61" s="77"/>
      <c r="CN61" s="73"/>
      <c r="CO61" s="73"/>
      <c r="CP61" s="77"/>
      <c r="CQ61" s="73"/>
      <c r="CR61" s="73"/>
      <c r="CS61" s="83"/>
      <c r="CT61" s="73"/>
      <c r="CU61" s="77"/>
      <c r="CV61" s="147"/>
      <c r="CW61" s="77"/>
      <c r="CX61" s="77"/>
      <c r="CY61" s="83"/>
      <c r="CZ61" s="73"/>
      <c r="DA61" s="77"/>
      <c r="DB61" s="73"/>
      <c r="DC61" s="73"/>
      <c r="DD61" s="77"/>
      <c r="DE61" s="73"/>
      <c r="DF61" s="73"/>
      <c r="DG61" s="83"/>
      <c r="DH61" s="73"/>
      <c r="DI61" s="77"/>
      <c r="DJ61" s="147"/>
      <c r="DK61" s="77"/>
      <c r="DL61" s="77"/>
      <c r="DM61" s="83"/>
      <c r="DN61" s="73"/>
      <c r="DO61" s="77"/>
      <c r="DP61" s="73"/>
      <c r="DQ61" s="73"/>
      <c r="DR61" s="77"/>
      <c r="DS61" s="73"/>
      <c r="DT61" s="73"/>
      <c r="DU61" s="83"/>
      <c r="DV61" s="73"/>
      <c r="DW61" s="77"/>
      <c r="DX61" s="147"/>
      <c r="DY61" s="77"/>
      <c r="DZ61" s="77"/>
      <c r="EA61" s="83"/>
      <c r="EB61" s="73"/>
      <c r="EC61" s="77"/>
      <c r="ED61" s="73"/>
      <c r="EE61" s="73"/>
      <c r="EF61" s="77"/>
      <c r="EG61" s="73"/>
      <c r="EH61" s="73"/>
      <c r="EI61" s="83"/>
      <c r="EJ61" s="73"/>
      <c r="EK61" s="77"/>
      <c r="EL61" s="147"/>
      <c r="EN61" s="74"/>
      <c r="EO61" s="73"/>
      <c r="ER61" s="75"/>
      <c r="ES61" s="76"/>
      <c r="ET61" s="77"/>
      <c r="EU61" s="77"/>
      <c r="EV61" s="78"/>
      <c r="FA61" s="172"/>
      <c r="FB61" s="163"/>
      <c r="FC61" s="172"/>
      <c r="FH61" s="147"/>
      <c r="FL61" s="71"/>
      <c r="FM61" s="71"/>
      <c r="FN61" s="71"/>
      <c r="FO61" s="71"/>
      <c r="FP61" s="71"/>
      <c r="FQ61" s="71"/>
      <c r="FR61" s="71"/>
      <c r="FS61" s="147"/>
      <c r="FW61" s="71"/>
      <c r="FX61" s="71"/>
      <c r="FY61" s="71"/>
      <c r="FZ61" s="71"/>
      <c r="GA61" s="71"/>
      <c r="GB61" s="71"/>
      <c r="GC61" s="71"/>
      <c r="GD61" s="71"/>
      <c r="GE61" s="71"/>
      <c r="GF61" s="71"/>
      <c r="GG61" s="71"/>
      <c r="GH61" s="71"/>
      <c r="GI61" s="71"/>
      <c r="GJ61" s="71"/>
      <c r="GK61" s="71"/>
      <c r="GL61" s="71"/>
      <c r="GM61" s="71"/>
      <c r="GN61" s="71"/>
      <c r="GO61" s="71"/>
      <c r="GP61" s="71"/>
      <c r="GQ61" s="71"/>
      <c r="GR61" s="71"/>
      <c r="GS61" s="71"/>
      <c r="GT61" s="71"/>
      <c r="GU61" s="71"/>
      <c r="GV61" s="71"/>
      <c r="GW61" s="71"/>
      <c r="GX61" s="71"/>
      <c r="GY61" s="71"/>
      <c r="GZ61" s="71"/>
      <c r="HA61" s="71"/>
      <c r="HB61" s="71"/>
      <c r="HC61" s="71"/>
      <c r="HD61" s="71"/>
    </row>
    <row r="62" spans="1:321" ht="15.95" customHeight="1" x14ac:dyDescent="0.25">
      <c r="A62" s="71">
        <v>1664</v>
      </c>
      <c r="B62" s="162"/>
      <c r="C62" s="162"/>
      <c r="D62" s="162">
        <v>1</v>
      </c>
      <c r="F62" s="71" t="str">
        <f>mehrsprachigkeitBegriffsrückgabe(gewählteSpracheZurückgeben(), "Variant")</f>
        <v>Variante</v>
      </c>
      <c r="G62" s="72" t="s">
        <v>856</v>
      </c>
      <c r="H62" s="72" t="s">
        <v>826</v>
      </c>
      <c r="I62" s="72" t="s">
        <v>86</v>
      </c>
      <c r="M62" s="150" t="s">
        <v>700</v>
      </c>
      <c r="N62" s="72" t="s">
        <v>719</v>
      </c>
      <c r="O62" s="72" t="s">
        <v>699</v>
      </c>
      <c r="P62" s="72" t="s">
        <v>711</v>
      </c>
      <c r="Q62" s="72" t="s">
        <v>702</v>
      </c>
      <c r="R62" s="72" t="s">
        <v>730</v>
      </c>
      <c r="S62" s="72" t="s">
        <v>701</v>
      </c>
      <c r="T62" s="72" t="s">
        <v>721</v>
      </c>
      <c r="BA62" s="147"/>
      <c r="BF62" s="147"/>
      <c r="BG62" s="83"/>
      <c r="BH62" s="73"/>
      <c r="BI62" s="147"/>
      <c r="BJ62" s="77"/>
      <c r="BK62" s="73"/>
      <c r="BL62" s="73"/>
      <c r="BM62" s="77"/>
      <c r="BN62" s="73"/>
      <c r="BO62" s="73"/>
      <c r="BP62" s="147"/>
      <c r="BQ62" s="83"/>
      <c r="BR62" s="73"/>
      <c r="BS62" s="77"/>
      <c r="BT62" s="147"/>
      <c r="BU62" s="77"/>
      <c r="BV62" s="77"/>
      <c r="BW62" s="83"/>
      <c r="BX62" s="73"/>
      <c r="BY62" s="77"/>
      <c r="BZ62" s="73"/>
      <c r="CA62" s="73"/>
      <c r="CB62" s="77"/>
      <c r="CC62" s="73"/>
      <c r="CD62" s="73"/>
      <c r="CE62" s="83"/>
      <c r="CF62" s="73"/>
      <c r="CG62" s="77"/>
      <c r="CH62" s="147"/>
      <c r="CI62" s="77"/>
      <c r="CJ62" s="77"/>
      <c r="CK62" s="83"/>
      <c r="CL62" s="73"/>
      <c r="CM62" s="77"/>
      <c r="CN62" s="73"/>
      <c r="CO62" s="73"/>
      <c r="CP62" s="77"/>
      <c r="CQ62" s="73"/>
      <c r="CR62" s="73"/>
      <c r="CS62" s="83"/>
      <c r="CT62" s="73"/>
      <c r="CU62" s="77"/>
      <c r="CV62" s="147"/>
      <c r="CW62" s="77"/>
      <c r="CX62" s="77"/>
      <c r="CY62" s="83"/>
      <c r="CZ62" s="73"/>
      <c r="DA62" s="77"/>
      <c r="DB62" s="73"/>
      <c r="DC62" s="73"/>
      <c r="DD62" s="77"/>
      <c r="DE62" s="73"/>
      <c r="DF62" s="73"/>
      <c r="DG62" s="83"/>
      <c r="DH62" s="73"/>
      <c r="DI62" s="77"/>
      <c r="DJ62" s="147"/>
      <c r="DK62" s="77"/>
      <c r="DL62" s="77"/>
      <c r="DM62" s="83"/>
      <c r="DN62" s="73"/>
      <c r="DO62" s="77"/>
      <c r="DP62" s="73"/>
      <c r="DQ62" s="73"/>
      <c r="DR62" s="77"/>
      <c r="DS62" s="73"/>
      <c r="DT62" s="73"/>
      <c r="DU62" s="83"/>
      <c r="DV62" s="73"/>
      <c r="DW62" s="77"/>
      <c r="DX62" s="147"/>
      <c r="DY62" s="77"/>
      <c r="DZ62" s="77"/>
      <c r="EA62" s="83"/>
      <c r="EB62" s="73"/>
      <c r="EC62" s="77"/>
      <c r="ED62" s="73"/>
      <c r="EE62" s="73"/>
      <c r="EF62" s="77"/>
      <c r="EG62" s="73"/>
      <c r="EH62" s="73"/>
      <c r="EI62" s="83"/>
      <c r="EJ62" s="73"/>
      <c r="EK62" s="77"/>
      <c r="EL62" s="147"/>
      <c r="EN62" s="74"/>
      <c r="EO62" s="73"/>
      <c r="ER62" s="75"/>
      <c r="ES62" s="76"/>
      <c r="ET62" s="77"/>
      <c r="EU62" s="77"/>
      <c r="EV62" s="78"/>
      <c r="FA62" s="172"/>
      <c r="FB62" s="163"/>
      <c r="FC62" s="172"/>
      <c r="FH62" s="147"/>
      <c r="FL62" s="71"/>
      <c r="FM62" s="71"/>
      <c r="FN62" s="71"/>
      <c r="FO62" s="71"/>
      <c r="FP62" s="71"/>
      <c r="FQ62" s="71"/>
      <c r="FR62" s="71"/>
      <c r="FS62" s="147"/>
      <c r="FW62" s="71"/>
      <c r="FX62" s="71"/>
      <c r="FY62" s="71"/>
      <c r="FZ62" s="71"/>
      <c r="GA62" s="71"/>
      <c r="GB62" s="71"/>
      <c r="GC62" s="71"/>
      <c r="GD62" s="71"/>
      <c r="GE62" s="71"/>
      <c r="GF62" s="71"/>
      <c r="GG62" s="71"/>
      <c r="GH62" s="71"/>
      <c r="GI62" s="71"/>
      <c r="GJ62" s="71"/>
      <c r="GK62" s="71"/>
      <c r="GL62" s="71"/>
      <c r="GM62" s="71"/>
      <c r="GN62" s="71"/>
      <c r="GO62" s="71"/>
      <c r="GP62" s="71"/>
      <c r="GQ62" s="71"/>
      <c r="GR62" s="71"/>
      <c r="GS62" s="71"/>
      <c r="GT62" s="71"/>
      <c r="GU62" s="71"/>
      <c r="GV62" s="71"/>
      <c r="GW62" s="71"/>
      <c r="GX62" s="71"/>
      <c r="GY62" s="71"/>
      <c r="GZ62" s="71"/>
      <c r="HA62" s="71"/>
      <c r="HB62" s="71"/>
      <c r="HC62" s="71"/>
      <c r="HD62" s="71"/>
      <c r="HM62" s="83" t="s">
        <v>852</v>
      </c>
      <c r="HN62" s="73" t="str">
        <f>mehrsprachigkeitBegriffsrückgabe(gewählteSpracheZurückgeben(), "Fixed price")</f>
        <v>Anpassung mit fixem Preis</v>
      </c>
      <c r="HW62" s="83" t="s">
        <v>852</v>
      </c>
      <c r="HX62" s="73" t="str">
        <f>mehrsprachigkeitBegriffsrückgabe(gewählteSpracheZurückgeben(), "Fixed price")</f>
        <v>Anpassung mit fixem Preis</v>
      </c>
      <c r="HY62" s="77">
        <v>1</v>
      </c>
      <c r="KT62" s="74">
        <v>0</v>
      </c>
      <c r="KU62" s="73" t="str">
        <f>mehrsprachigkeitBegriffsrückgabe(gewählteSpracheZurückgeben(), "Percent")</f>
        <v>Prozentuale Anpassung</v>
      </c>
      <c r="KX62" s="75">
        <v>0</v>
      </c>
      <c r="LH62" s="72" t="s">
        <v>767</v>
      </c>
      <c r="LI62" s="72" t="s">
        <v>744</v>
      </c>
    </row>
    <row r="63" spans="1:321" ht="15.95" customHeight="1" x14ac:dyDescent="0.25">
      <c r="B63" s="162"/>
      <c r="C63" s="162"/>
      <c r="D63" s="162"/>
      <c r="F63" s="71" t="str">
        <f>mehrsprachigkeitBegriffsrückgabe(gewählteSpracheZurückgeben(), "Variant (foreign language)")</f>
        <v>Variante (Fremdsprache)</v>
      </c>
      <c r="H63" s="72" t="s">
        <v>856</v>
      </c>
      <c r="I63" s="72" t="s">
        <v>94</v>
      </c>
      <c r="BA63" s="147"/>
      <c r="BF63" s="147"/>
      <c r="BG63" s="83"/>
      <c r="BH63" s="73"/>
      <c r="BI63" s="147"/>
      <c r="BJ63" s="77"/>
      <c r="BK63" s="73"/>
      <c r="BL63" s="73"/>
      <c r="BM63" s="77"/>
      <c r="BN63" s="73"/>
      <c r="BO63" s="73"/>
      <c r="BP63" s="147"/>
      <c r="BQ63" s="83"/>
      <c r="BR63" s="73"/>
      <c r="BS63" s="77"/>
      <c r="BT63" s="147"/>
      <c r="BU63" s="77"/>
      <c r="BV63" s="77"/>
      <c r="BW63" s="83"/>
      <c r="BX63" s="73"/>
      <c r="BY63" s="77"/>
      <c r="BZ63" s="73"/>
      <c r="CA63" s="73"/>
      <c r="CB63" s="77"/>
      <c r="CC63" s="73"/>
      <c r="CD63" s="73"/>
      <c r="CE63" s="83"/>
      <c r="CF63" s="73"/>
      <c r="CG63" s="77"/>
      <c r="CH63" s="147"/>
      <c r="CI63" s="77"/>
      <c r="CJ63" s="77"/>
      <c r="CK63" s="83"/>
      <c r="CL63" s="73"/>
      <c r="CM63" s="77"/>
      <c r="CN63" s="73"/>
      <c r="CO63" s="73"/>
      <c r="CP63" s="77"/>
      <c r="CQ63" s="73"/>
      <c r="CR63" s="73"/>
      <c r="CS63" s="83"/>
      <c r="CT63" s="73"/>
      <c r="CU63" s="77"/>
      <c r="CV63" s="147"/>
      <c r="CW63" s="77"/>
      <c r="CX63" s="77"/>
      <c r="CY63" s="83"/>
      <c r="CZ63" s="73"/>
      <c r="DA63" s="77"/>
      <c r="DB63" s="73"/>
      <c r="DC63" s="73"/>
      <c r="DD63" s="77"/>
      <c r="DE63" s="73"/>
      <c r="DF63" s="73"/>
      <c r="DG63" s="83"/>
      <c r="DH63" s="73"/>
      <c r="DI63" s="77"/>
      <c r="DJ63" s="147"/>
      <c r="DK63" s="77"/>
      <c r="DL63" s="77"/>
      <c r="DM63" s="83"/>
      <c r="DN63" s="73"/>
      <c r="DO63" s="77"/>
      <c r="DP63" s="73"/>
      <c r="DQ63" s="73"/>
      <c r="DR63" s="77"/>
      <c r="DS63" s="73"/>
      <c r="DT63" s="73"/>
      <c r="DU63" s="83"/>
      <c r="DV63" s="73"/>
      <c r="DW63" s="77"/>
      <c r="DX63" s="147"/>
      <c r="DY63" s="77"/>
      <c r="DZ63" s="77"/>
      <c r="EA63" s="83"/>
      <c r="EB63" s="73"/>
      <c r="EC63" s="77"/>
      <c r="ED63" s="73"/>
      <c r="EE63" s="73"/>
      <c r="EF63" s="77"/>
      <c r="EG63" s="73"/>
      <c r="EH63" s="73"/>
      <c r="EI63" s="83"/>
      <c r="EJ63" s="73"/>
      <c r="EK63" s="77"/>
      <c r="EL63" s="147"/>
      <c r="EN63" s="74"/>
      <c r="EO63" s="73"/>
      <c r="ER63" s="75"/>
      <c r="ES63" s="76"/>
      <c r="ET63" s="77"/>
      <c r="EU63" s="77"/>
      <c r="EV63" s="78"/>
      <c r="FA63" s="172"/>
      <c r="FB63" s="163"/>
      <c r="FC63" s="172"/>
      <c r="FH63" s="147"/>
      <c r="FL63" s="71"/>
      <c r="FM63" s="71"/>
      <c r="FN63" s="71"/>
      <c r="FO63" s="71"/>
      <c r="FP63" s="71"/>
      <c r="FQ63" s="71"/>
      <c r="FR63" s="71"/>
      <c r="FS63" s="147"/>
      <c r="FW63" s="71"/>
      <c r="FX63" s="71"/>
      <c r="FY63" s="71"/>
      <c r="FZ63" s="71"/>
      <c r="GA63" s="71"/>
      <c r="GB63" s="71"/>
      <c r="GC63" s="71"/>
      <c r="GD63" s="71"/>
      <c r="GE63" s="71"/>
      <c r="GF63" s="71"/>
      <c r="GG63" s="71"/>
      <c r="GH63" s="71"/>
      <c r="GI63" s="71"/>
      <c r="GJ63" s="71"/>
      <c r="GK63" s="71"/>
      <c r="GL63" s="71"/>
      <c r="GM63" s="71"/>
      <c r="GN63" s="71"/>
      <c r="GO63" s="71"/>
      <c r="GP63" s="71"/>
      <c r="GQ63" s="71"/>
      <c r="GR63" s="71"/>
      <c r="GS63" s="71"/>
      <c r="GT63" s="71"/>
      <c r="GU63" s="71"/>
      <c r="GV63" s="71"/>
      <c r="GW63" s="71"/>
      <c r="GX63" s="71"/>
      <c r="GY63" s="71"/>
      <c r="GZ63" s="71"/>
      <c r="HA63" s="71"/>
      <c r="HB63" s="71"/>
      <c r="HC63" s="71"/>
      <c r="HD63" s="71"/>
    </row>
    <row r="64" spans="1:321" ht="15.95" customHeight="1" x14ac:dyDescent="0.25">
      <c r="A64" s="71">
        <v>1792</v>
      </c>
      <c r="B64" s="162"/>
      <c r="C64" s="162"/>
      <c r="D64" s="162">
        <v>1</v>
      </c>
      <c r="F64" s="71" t="str">
        <f>mehrsprachigkeitBegriffsrückgabe(gewählteSpracheZurückgeben(), "Variant")</f>
        <v>Variante</v>
      </c>
      <c r="G64" s="72" t="s">
        <v>857</v>
      </c>
      <c r="H64" s="72" t="s">
        <v>826</v>
      </c>
      <c r="I64" s="72" t="s">
        <v>86</v>
      </c>
      <c r="M64" s="150" t="s">
        <v>700</v>
      </c>
      <c r="N64" s="72" t="s">
        <v>720</v>
      </c>
      <c r="O64" s="72" t="s">
        <v>699</v>
      </c>
      <c r="P64" s="72" t="s">
        <v>712</v>
      </c>
      <c r="Q64" s="72" t="s">
        <v>702</v>
      </c>
      <c r="R64" s="72" t="s">
        <v>730</v>
      </c>
      <c r="S64" s="72" t="s">
        <v>701</v>
      </c>
      <c r="T64" s="72" t="s">
        <v>721</v>
      </c>
      <c r="BA64" s="147"/>
      <c r="BF64" s="147"/>
      <c r="BG64" s="83"/>
      <c r="BH64" s="73"/>
      <c r="BI64" s="147"/>
      <c r="BJ64" s="77"/>
      <c r="BK64" s="73"/>
      <c r="BL64" s="73"/>
      <c r="BM64" s="77"/>
      <c r="BN64" s="73"/>
      <c r="BO64" s="73"/>
      <c r="BP64" s="147"/>
      <c r="BQ64" s="83"/>
      <c r="BR64" s="73"/>
      <c r="BS64" s="77"/>
      <c r="BT64" s="147"/>
      <c r="BU64" s="77"/>
      <c r="BV64" s="77"/>
      <c r="BW64" s="83"/>
      <c r="BX64" s="73"/>
      <c r="BY64" s="77"/>
      <c r="BZ64" s="73"/>
      <c r="CA64" s="73"/>
      <c r="CB64" s="77"/>
      <c r="CC64" s="73"/>
      <c r="CD64" s="73"/>
      <c r="CE64" s="83"/>
      <c r="CF64" s="73"/>
      <c r="CG64" s="77"/>
      <c r="CH64" s="147"/>
      <c r="CI64" s="77"/>
      <c r="CJ64" s="77"/>
      <c r="CK64" s="83"/>
      <c r="CL64" s="73"/>
      <c r="CM64" s="77"/>
      <c r="CN64" s="73"/>
      <c r="CO64" s="73"/>
      <c r="CP64" s="77"/>
      <c r="CQ64" s="73"/>
      <c r="CR64" s="73"/>
      <c r="CS64" s="83"/>
      <c r="CT64" s="73"/>
      <c r="CU64" s="77"/>
      <c r="CV64" s="147"/>
      <c r="CW64" s="77"/>
      <c r="CX64" s="77"/>
      <c r="CY64" s="83"/>
      <c r="CZ64" s="73"/>
      <c r="DA64" s="77"/>
      <c r="DB64" s="73"/>
      <c r="DC64" s="73"/>
      <c r="DD64" s="77"/>
      <c r="DE64" s="73"/>
      <c r="DF64" s="73"/>
      <c r="DG64" s="83"/>
      <c r="DH64" s="73"/>
      <c r="DI64" s="77"/>
      <c r="DJ64" s="147"/>
      <c r="DK64" s="77"/>
      <c r="DL64" s="77"/>
      <c r="DM64" s="83"/>
      <c r="DN64" s="73"/>
      <c r="DO64" s="77"/>
      <c r="DP64" s="73"/>
      <c r="DQ64" s="73"/>
      <c r="DR64" s="77"/>
      <c r="DS64" s="73"/>
      <c r="DT64" s="73"/>
      <c r="DU64" s="83"/>
      <c r="DV64" s="73"/>
      <c r="DW64" s="77"/>
      <c r="DX64" s="147"/>
      <c r="DY64" s="77"/>
      <c r="DZ64" s="77"/>
      <c r="EA64" s="83"/>
      <c r="EB64" s="73"/>
      <c r="EC64" s="77"/>
      <c r="ED64" s="73"/>
      <c r="EE64" s="73"/>
      <c r="EF64" s="77"/>
      <c r="EG64" s="73"/>
      <c r="EH64" s="73"/>
      <c r="EI64" s="83"/>
      <c r="EJ64" s="73"/>
      <c r="EK64" s="77"/>
      <c r="EL64" s="147"/>
      <c r="EN64" s="74"/>
      <c r="EO64" s="73"/>
      <c r="ER64" s="75"/>
      <c r="ES64" s="76"/>
      <c r="ET64" s="77"/>
      <c r="EU64" s="77"/>
      <c r="EV64" s="78"/>
      <c r="FA64" s="172"/>
      <c r="FB64" s="163"/>
      <c r="FC64" s="172"/>
      <c r="FH64" s="147"/>
      <c r="FL64" s="71"/>
      <c r="FM64" s="71"/>
      <c r="FN64" s="71"/>
      <c r="FO64" s="71"/>
      <c r="FP64" s="71"/>
      <c r="FQ64" s="71"/>
      <c r="FR64" s="71"/>
      <c r="FS64" s="147"/>
      <c r="FW64" s="71"/>
      <c r="FX64" s="71"/>
      <c r="FY64" s="71"/>
      <c r="FZ64" s="71"/>
      <c r="GA64" s="71"/>
      <c r="GB64" s="71"/>
      <c r="GC64" s="71"/>
      <c r="GD64" s="71"/>
      <c r="GE64" s="71"/>
      <c r="GF64" s="71"/>
      <c r="GG64" s="71"/>
      <c r="GH64" s="71"/>
      <c r="GI64" s="71"/>
      <c r="GJ64" s="71"/>
      <c r="GK64" s="71"/>
      <c r="GL64" s="71"/>
      <c r="GM64" s="71"/>
      <c r="GN64" s="71"/>
      <c r="GO64" s="71"/>
      <c r="GP64" s="71"/>
      <c r="GQ64" s="71"/>
      <c r="GR64" s="71"/>
      <c r="GS64" s="71"/>
      <c r="GT64" s="71"/>
      <c r="GU64" s="71"/>
      <c r="GV64" s="71"/>
      <c r="GW64" s="71"/>
      <c r="GX64" s="71"/>
      <c r="GY64" s="71"/>
      <c r="GZ64" s="71"/>
      <c r="HA64" s="71"/>
      <c r="HB64" s="71"/>
      <c r="HC64" s="71"/>
      <c r="HD64" s="71"/>
      <c r="HM64" s="83" t="s">
        <v>852</v>
      </c>
      <c r="HN64" s="73" t="str">
        <f>mehrsprachigkeitBegriffsrückgabe(gewählteSpracheZurückgeben(), "Fixed price")</f>
        <v>Anpassung mit fixem Preis</v>
      </c>
      <c r="HW64" s="83" t="s">
        <v>852</v>
      </c>
      <c r="HX64" s="73" t="str">
        <f>mehrsprachigkeitBegriffsrückgabe(gewählteSpracheZurückgeben(), "Fixed price")</f>
        <v>Anpassung mit fixem Preis</v>
      </c>
      <c r="HY64" s="77">
        <v>1</v>
      </c>
      <c r="KT64" s="74">
        <v>0</v>
      </c>
      <c r="KU64" s="73" t="str">
        <f>mehrsprachigkeitBegriffsrückgabe(gewählteSpracheZurückgeben(), "Percent")</f>
        <v>Prozentuale Anpassung</v>
      </c>
      <c r="KX64" s="75">
        <v>0</v>
      </c>
      <c r="LH64" s="72" t="s">
        <v>767</v>
      </c>
      <c r="LI64" s="72" t="s">
        <v>744</v>
      </c>
    </row>
    <row r="65" spans="1:321" ht="15.95" customHeight="1" x14ac:dyDescent="0.25">
      <c r="B65" s="162"/>
      <c r="C65" s="162"/>
      <c r="D65" s="162"/>
      <c r="F65" s="71" t="str">
        <f>mehrsprachigkeitBegriffsrückgabe(gewählteSpracheZurückgeben(), "Variant (foreign language)")</f>
        <v>Variante (Fremdsprache)</v>
      </c>
      <c r="H65" s="72" t="s">
        <v>857</v>
      </c>
      <c r="I65" s="72" t="s">
        <v>94</v>
      </c>
      <c r="BA65" s="147"/>
      <c r="BF65" s="147"/>
      <c r="BG65" s="83"/>
      <c r="BH65" s="73"/>
      <c r="BI65" s="147"/>
      <c r="BJ65" s="77"/>
      <c r="BK65" s="73"/>
      <c r="BL65" s="73"/>
      <c r="BM65" s="77"/>
      <c r="BN65" s="73"/>
      <c r="BO65" s="73"/>
      <c r="BP65" s="147"/>
      <c r="BQ65" s="83"/>
      <c r="BR65" s="73"/>
      <c r="BS65" s="77"/>
      <c r="BT65" s="147"/>
      <c r="BU65" s="77"/>
      <c r="BV65" s="77"/>
      <c r="BW65" s="83"/>
      <c r="BX65" s="73"/>
      <c r="BY65" s="77"/>
      <c r="BZ65" s="73"/>
      <c r="CA65" s="73"/>
      <c r="CB65" s="77"/>
      <c r="CC65" s="73"/>
      <c r="CD65" s="73"/>
      <c r="CE65" s="83"/>
      <c r="CF65" s="73"/>
      <c r="CG65" s="77"/>
      <c r="CH65" s="147"/>
      <c r="CI65" s="77"/>
      <c r="CJ65" s="77"/>
      <c r="CK65" s="83"/>
      <c r="CL65" s="73"/>
      <c r="CM65" s="77"/>
      <c r="CN65" s="73"/>
      <c r="CO65" s="73"/>
      <c r="CP65" s="77"/>
      <c r="CQ65" s="73"/>
      <c r="CR65" s="73"/>
      <c r="CS65" s="83"/>
      <c r="CT65" s="73"/>
      <c r="CU65" s="77"/>
      <c r="CV65" s="147"/>
      <c r="CW65" s="77"/>
      <c r="CX65" s="77"/>
      <c r="CY65" s="83"/>
      <c r="CZ65" s="73"/>
      <c r="DA65" s="77"/>
      <c r="DB65" s="73"/>
      <c r="DC65" s="73"/>
      <c r="DD65" s="77"/>
      <c r="DE65" s="73"/>
      <c r="DF65" s="73"/>
      <c r="DG65" s="83"/>
      <c r="DH65" s="73"/>
      <c r="DI65" s="77"/>
      <c r="DJ65" s="147"/>
      <c r="DK65" s="77"/>
      <c r="DL65" s="77"/>
      <c r="DM65" s="83"/>
      <c r="DN65" s="73"/>
      <c r="DO65" s="77"/>
      <c r="DP65" s="73"/>
      <c r="DQ65" s="73"/>
      <c r="DR65" s="77"/>
      <c r="DS65" s="73"/>
      <c r="DT65" s="73"/>
      <c r="DU65" s="83"/>
      <c r="DV65" s="73"/>
      <c r="DW65" s="77"/>
      <c r="DX65" s="147"/>
      <c r="DY65" s="77"/>
      <c r="DZ65" s="77"/>
      <c r="EA65" s="83"/>
      <c r="EB65" s="73"/>
      <c r="EC65" s="77"/>
      <c r="ED65" s="73"/>
      <c r="EE65" s="73"/>
      <c r="EF65" s="77"/>
      <c r="EG65" s="73"/>
      <c r="EH65" s="73"/>
      <c r="EI65" s="83"/>
      <c r="EJ65" s="73"/>
      <c r="EK65" s="77"/>
      <c r="EL65" s="147"/>
      <c r="EN65" s="74"/>
      <c r="EO65" s="73"/>
      <c r="ER65" s="75"/>
      <c r="ES65" s="76"/>
      <c r="ET65" s="77"/>
      <c r="EU65" s="77"/>
      <c r="EV65" s="78"/>
      <c r="FA65" s="172"/>
      <c r="FB65" s="163"/>
      <c r="FC65" s="172"/>
      <c r="FH65" s="147"/>
      <c r="FL65" s="71"/>
      <c r="FM65" s="71"/>
      <c r="FN65" s="71"/>
      <c r="FO65" s="71"/>
      <c r="FP65" s="71"/>
      <c r="FQ65" s="71"/>
      <c r="FR65" s="71"/>
      <c r="FS65" s="147"/>
      <c r="FW65" s="71"/>
      <c r="FX65" s="71"/>
      <c r="FY65" s="71"/>
      <c r="FZ65" s="71"/>
      <c r="GA65" s="71"/>
      <c r="GB65" s="71"/>
      <c r="GC65" s="71"/>
      <c r="GD65" s="71"/>
      <c r="GE65" s="71"/>
      <c r="GF65" s="71"/>
      <c r="GG65" s="71"/>
      <c r="GH65" s="71"/>
      <c r="GI65" s="71"/>
      <c r="GJ65" s="71"/>
      <c r="GK65" s="71"/>
      <c r="GL65" s="71"/>
      <c r="GM65" s="71"/>
      <c r="GN65" s="71"/>
      <c r="GO65" s="71"/>
      <c r="GP65" s="71"/>
      <c r="GQ65" s="71"/>
      <c r="GR65" s="71"/>
      <c r="GS65" s="71"/>
      <c r="GT65" s="71"/>
      <c r="GU65" s="71"/>
      <c r="GV65" s="71"/>
      <c r="GW65" s="71"/>
      <c r="GX65" s="71"/>
      <c r="GY65" s="71"/>
      <c r="GZ65" s="71"/>
      <c r="HA65" s="71"/>
      <c r="HB65" s="71"/>
      <c r="HC65" s="71"/>
      <c r="HD65" s="71"/>
    </row>
    <row r="66" spans="1:321" ht="15.95" customHeight="1" x14ac:dyDescent="0.25">
      <c r="A66" s="71">
        <v>1920</v>
      </c>
      <c r="B66" s="162"/>
      <c r="C66" s="162"/>
      <c r="D66" s="162">
        <v>1</v>
      </c>
      <c r="F66" s="71" t="str">
        <f>mehrsprachigkeitBegriffsrückgabe(gewählteSpracheZurückgeben(), "Variant")</f>
        <v>Variante</v>
      </c>
      <c r="G66" s="72" t="s">
        <v>858</v>
      </c>
      <c r="H66" s="72" t="s">
        <v>826</v>
      </c>
      <c r="I66" s="72" t="s">
        <v>86</v>
      </c>
      <c r="M66" s="150" t="s">
        <v>700</v>
      </c>
      <c r="N66" s="72" t="s">
        <v>716</v>
      </c>
      <c r="O66" s="72" t="s">
        <v>699</v>
      </c>
      <c r="P66" s="72" t="s">
        <v>525</v>
      </c>
      <c r="Q66" s="72" t="s">
        <v>702</v>
      </c>
      <c r="R66" s="72" t="s">
        <v>730</v>
      </c>
      <c r="S66" s="72" t="s">
        <v>701</v>
      </c>
      <c r="T66" s="72" t="s">
        <v>721</v>
      </c>
      <c r="BA66" s="147"/>
      <c r="BF66" s="147"/>
      <c r="BG66" s="83"/>
      <c r="BH66" s="73"/>
      <c r="BI66" s="147"/>
      <c r="BJ66" s="77"/>
      <c r="BK66" s="73"/>
      <c r="BL66" s="73"/>
      <c r="BM66" s="77"/>
      <c r="BN66" s="73"/>
      <c r="BO66" s="73"/>
      <c r="BP66" s="147"/>
      <c r="BQ66" s="83"/>
      <c r="BR66" s="73"/>
      <c r="BS66" s="77"/>
      <c r="BT66" s="147"/>
      <c r="BU66" s="77"/>
      <c r="BV66" s="77"/>
      <c r="BW66" s="83"/>
      <c r="BX66" s="73"/>
      <c r="BY66" s="77"/>
      <c r="BZ66" s="73"/>
      <c r="CA66" s="73"/>
      <c r="CB66" s="77"/>
      <c r="CC66" s="73"/>
      <c r="CD66" s="73"/>
      <c r="CE66" s="83"/>
      <c r="CF66" s="73"/>
      <c r="CG66" s="77"/>
      <c r="CH66" s="147"/>
      <c r="CI66" s="77"/>
      <c r="CJ66" s="77"/>
      <c r="CK66" s="83"/>
      <c r="CL66" s="73"/>
      <c r="CM66" s="77"/>
      <c r="CN66" s="73"/>
      <c r="CO66" s="73"/>
      <c r="CP66" s="77"/>
      <c r="CQ66" s="73"/>
      <c r="CR66" s="73"/>
      <c r="CS66" s="83"/>
      <c r="CT66" s="73"/>
      <c r="CU66" s="77"/>
      <c r="CV66" s="147"/>
      <c r="CW66" s="77"/>
      <c r="CX66" s="77"/>
      <c r="CY66" s="83"/>
      <c r="CZ66" s="73"/>
      <c r="DA66" s="77"/>
      <c r="DB66" s="73"/>
      <c r="DC66" s="73"/>
      <c r="DD66" s="77"/>
      <c r="DE66" s="73"/>
      <c r="DF66" s="73"/>
      <c r="DG66" s="83"/>
      <c r="DH66" s="73"/>
      <c r="DI66" s="77"/>
      <c r="DJ66" s="147"/>
      <c r="DK66" s="77"/>
      <c r="DL66" s="77"/>
      <c r="DM66" s="83"/>
      <c r="DN66" s="73"/>
      <c r="DO66" s="77"/>
      <c r="DP66" s="73"/>
      <c r="DQ66" s="73"/>
      <c r="DR66" s="77"/>
      <c r="DS66" s="73"/>
      <c r="DT66" s="73"/>
      <c r="DU66" s="83"/>
      <c r="DV66" s="73"/>
      <c r="DW66" s="77"/>
      <c r="DX66" s="147"/>
      <c r="DY66" s="77"/>
      <c r="DZ66" s="77"/>
      <c r="EA66" s="83"/>
      <c r="EB66" s="73"/>
      <c r="EC66" s="77"/>
      <c r="ED66" s="73"/>
      <c r="EE66" s="73"/>
      <c r="EF66" s="77"/>
      <c r="EG66" s="73"/>
      <c r="EH66" s="73"/>
      <c r="EI66" s="83"/>
      <c r="EJ66" s="73"/>
      <c r="EK66" s="77"/>
      <c r="EL66" s="147"/>
      <c r="EN66" s="74"/>
      <c r="EO66" s="73"/>
      <c r="ER66" s="75"/>
      <c r="ES66" s="76"/>
      <c r="ET66" s="77"/>
      <c r="EU66" s="77"/>
      <c r="EV66" s="78"/>
      <c r="FA66" s="172"/>
      <c r="FB66" s="163"/>
      <c r="FC66" s="172"/>
      <c r="FH66" s="147"/>
      <c r="FL66" s="71"/>
      <c r="FM66" s="71"/>
      <c r="FN66" s="71"/>
      <c r="FO66" s="71"/>
      <c r="FP66" s="71"/>
      <c r="FQ66" s="71"/>
      <c r="FR66" s="71"/>
      <c r="FS66" s="147"/>
      <c r="FW66" s="71"/>
      <c r="FX66" s="71"/>
      <c r="FY66" s="71"/>
      <c r="FZ66" s="71"/>
      <c r="GA66" s="71"/>
      <c r="GB66" s="71"/>
      <c r="GC66" s="71"/>
      <c r="GD66" s="71"/>
      <c r="GE66" s="71"/>
      <c r="GF66" s="71"/>
      <c r="GG66" s="71"/>
      <c r="GH66" s="71"/>
      <c r="GI66" s="71"/>
      <c r="GJ66" s="71"/>
      <c r="GK66" s="71"/>
      <c r="GL66" s="71"/>
      <c r="GM66" s="71"/>
      <c r="GN66" s="71"/>
      <c r="GO66" s="71"/>
      <c r="GP66" s="71"/>
      <c r="GQ66" s="71"/>
      <c r="GR66" s="71"/>
      <c r="GS66" s="71"/>
      <c r="GT66" s="71"/>
      <c r="GU66" s="71"/>
      <c r="GV66" s="71"/>
      <c r="GW66" s="71"/>
      <c r="GX66" s="71"/>
      <c r="GY66" s="71"/>
      <c r="GZ66" s="71"/>
      <c r="HA66" s="71"/>
      <c r="HB66" s="71"/>
      <c r="HC66" s="71"/>
      <c r="HD66" s="71"/>
      <c r="HM66" s="83" t="s">
        <v>852</v>
      </c>
      <c r="HN66" s="73" t="str">
        <f>mehrsprachigkeitBegriffsrückgabe(gewählteSpracheZurückgeben(), "Fixed price")</f>
        <v>Anpassung mit fixem Preis</v>
      </c>
      <c r="HW66" s="83" t="s">
        <v>852</v>
      </c>
      <c r="HX66" s="73" t="str">
        <f>mehrsprachigkeitBegriffsrückgabe(gewählteSpracheZurückgeben(), "Fixed price")</f>
        <v>Anpassung mit fixem Preis</v>
      </c>
      <c r="HY66" s="77">
        <v>1</v>
      </c>
      <c r="KT66" s="74">
        <v>0</v>
      </c>
      <c r="KU66" s="73" t="str">
        <f>mehrsprachigkeitBegriffsrückgabe(gewählteSpracheZurückgeben(), "Percent")</f>
        <v>Prozentuale Anpassung</v>
      </c>
      <c r="KX66" s="75">
        <v>0</v>
      </c>
      <c r="LH66" s="72" t="s">
        <v>767</v>
      </c>
      <c r="LI66" s="72" t="s">
        <v>744</v>
      </c>
    </row>
    <row r="67" spans="1:321" ht="15.95" customHeight="1" x14ac:dyDescent="0.25">
      <c r="B67" s="162"/>
      <c r="C67" s="162"/>
      <c r="D67" s="162"/>
      <c r="F67" s="71" t="str">
        <f>mehrsprachigkeitBegriffsrückgabe(gewählteSpracheZurückgeben(), "Variant (foreign language)")</f>
        <v>Variante (Fremdsprache)</v>
      </c>
      <c r="H67" s="72" t="s">
        <v>858</v>
      </c>
      <c r="I67" s="72" t="s">
        <v>94</v>
      </c>
      <c r="BA67" s="147"/>
      <c r="BF67" s="147"/>
      <c r="BG67" s="83"/>
      <c r="BH67" s="73"/>
      <c r="BI67" s="147"/>
      <c r="BJ67" s="77"/>
      <c r="BK67" s="73"/>
      <c r="BL67" s="73"/>
      <c r="BM67" s="77"/>
      <c r="BN67" s="73"/>
      <c r="BO67" s="73"/>
      <c r="BP67" s="147"/>
      <c r="BQ67" s="83"/>
      <c r="BR67" s="73"/>
      <c r="BS67" s="77"/>
      <c r="BT67" s="147"/>
      <c r="BU67" s="77"/>
      <c r="BV67" s="77"/>
      <c r="BW67" s="83"/>
      <c r="BX67" s="73"/>
      <c r="BY67" s="77"/>
      <c r="BZ67" s="73"/>
      <c r="CA67" s="73"/>
      <c r="CB67" s="77"/>
      <c r="CC67" s="73"/>
      <c r="CD67" s="73"/>
      <c r="CE67" s="83"/>
      <c r="CF67" s="73"/>
      <c r="CG67" s="77"/>
      <c r="CH67" s="147"/>
      <c r="CI67" s="77"/>
      <c r="CJ67" s="77"/>
      <c r="CK67" s="83"/>
      <c r="CL67" s="73"/>
      <c r="CM67" s="77"/>
      <c r="CN67" s="73"/>
      <c r="CO67" s="73"/>
      <c r="CP67" s="77"/>
      <c r="CQ67" s="73"/>
      <c r="CR67" s="73"/>
      <c r="CS67" s="83"/>
      <c r="CT67" s="73"/>
      <c r="CU67" s="77"/>
      <c r="CV67" s="147"/>
      <c r="CW67" s="77"/>
      <c r="CX67" s="77"/>
      <c r="CY67" s="83"/>
      <c r="CZ67" s="73"/>
      <c r="DA67" s="77"/>
      <c r="DB67" s="73"/>
      <c r="DC67" s="73"/>
      <c r="DD67" s="77"/>
      <c r="DE67" s="73"/>
      <c r="DF67" s="73"/>
      <c r="DG67" s="83"/>
      <c r="DH67" s="73"/>
      <c r="DI67" s="77"/>
      <c r="DJ67" s="147"/>
      <c r="DK67" s="77"/>
      <c r="DL67" s="77"/>
      <c r="DM67" s="83"/>
      <c r="DN67" s="73"/>
      <c r="DO67" s="77"/>
      <c r="DP67" s="73"/>
      <c r="DQ67" s="73"/>
      <c r="DR67" s="77"/>
      <c r="DS67" s="73"/>
      <c r="DT67" s="73"/>
      <c r="DU67" s="83"/>
      <c r="DV67" s="73"/>
      <c r="DW67" s="77"/>
      <c r="DX67" s="147"/>
      <c r="DY67" s="77"/>
      <c r="DZ67" s="77"/>
      <c r="EA67" s="83"/>
      <c r="EB67" s="73"/>
      <c r="EC67" s="77"/>
      <c r="ED67" s="73"/>
      <c r="EE67" s="73"/>
      <c r="EF67" s="77"/>
      <c r="EG67" s="73"/>
      <c r="EH67" s="73"/>
      <c r="EI67" s="83"/>
      <c r="EJ67" s="73"/>
      <c r="EK67" s="77"/>
      <c r="EL67" s="147"/>
      <c r="EN67" s="74"/>
      <c r="EO67" s="73"/>
      <c r="ER67" s="75"/>
      <c r="ES67" s="76"/>
      <c r="ET67" s="77"/>
      <c r="EU67" s="77"/>
      <c r="EV67" s="78"/>
      <c r="FA67" s="172"/>
      <c r="FB67" s="163"/>
      <c r="FC67" s="172"/>
      <c r="FH67" s="147"/>
      <c r="FL67" s="71"/>
      <c r="FM67" s="71"/>
      <c r="FN67" s="71"/>
      <c r="FO67" s="71"/>
      <c r="FP67" s="71"/>
      <c r="FQ67" s="71"/>
      <c r="FR67" s="71"/>
      <c r="FS67" s="147"/>
      <c r="FW67" s="71"/>
      <c r="FX67" s="71"/>
      <c r="FY67" s="71"/>
      <c r="FZ67" s="71"/>
      <c r="GA67" s="71"/>
      <c r="GB67" s="71"/>
      <c r="GC67" s="71"/>
      <c r="GD67" s="71"/>
      <c r="GE67" s="71"/>
      <c r="GF67" s="71"/>
      <c r="GG67" s="71"/>
      <c r="GH67" s="71"/>
      <c r="GI67" s="71"/>
      <c r="GJ67" s="71"/>
      <c r="GK67" s="71"/>
      <c r="GL67" s="71"/>
      <c r="GM67" s="71"/>
      <c r="GN67" s="71"/>
      <c r="GO67" s="71"/>
      <c r="GP67" s="71"/>
      <c r="GQ67" s="71"/>
      <c r="GR67" s="71"/>
      <c r="GS67" s="71"/>
      <c r="GT67" s="71"/>
      <c r="GU67" s="71"/>
      <c r="GV67" s="71"/>
      <c r="GW67" s="71"/>
      <c r="GX67" s="71"/>
      <c r="GY67" s="71"/>
      <c r="GZ67" s="71"/>
      <c r="HA67" s="71"/>
      <c r="HB67" s="71"/>
      <c r="HC67" s="71"/>
      <c r="HD67" s="71"/>
    </row>
    <row r="68" spans="1:321" ht="15.95" customHeight="1" x14ac:dyDescent="0.25">
      <c r="A68" s="71">
        <v>2048</v>
      </c>
      <c r="B68" s="162"/>
      <c r="C68" s="162"/>
      <c r="D68" s="162">
        <v>1</v>
      </c>
      <c r="F68" s="71" t="str">
        <f>mehrsprachigkeitBegriffsrückgabe(gewählteSpracheZurückgeben(), "Variant")</f>
        <v>Variante</v>
      </c>
      <c r="G68" s="72" t="s">
        <v>859</v>
      </c>
      <c r="H68" s="72" t="s">
        <v>826</v>
      </c>
      <c r="I68" s="72" t="s">
        <v>86</v>
      </c>
      <c r="M68" s="150" t="s">
        <v>700</v>
      </c>
      <c r="N68" s="72" t="s">
        <v>717</v>
      </c>
      <c r="O68" s="72" t="s">
        <v>699</v>
      </c>
      <c r="P68" s="72" t="s">
        <v>528</v>
      </c>
      <c r="Q68" s="72" t="s">
        <v>702</v>
      </c>
      <c r="R68" s="72" t="s">
        <v>730</v>
      </c>
      <c r="S68" s="72" t="s">
        <v>701</v>
      </c>
      <c r="T68" s="72" t="s">
        <v>721</v>
      </c>
      <c r="BA68" s="147"/>
      <c r="BF68" s="147"/>
      <c r="BG68" s="83"/>
      <c r="BH68" s="73"/>
      <c r="BI68" s="147"/>
      <c r="BJ68" s="77"/>
      <c r="BK68" s="73"/>
      <c r="BL68" s="73"/>
      <c r="BM68" s="77"/>
      <c r="BN68" s="73"/>
      <c r="BO68" s="73"/>
      <c r="BP68" s="147"/>
      <c r="BQ68" s="83"/>
      <c r="BR68" s="73"/>
      <c r="BS68" s="77"/>
      <c r="BT68" s="147"/>
      <c r="BU68" s="77"/>
      <c r="BV68" s="77"/>
      <c r="BW68" s="83"/>
      <c r="BX68" s="73"/>
      <c r="BY68" s="77"/>
      <c r="BZ68" s="73"/>
      <c r="CA68" s="73"/>
      <c r="CB68" s="77"/>
      <c r="CC68" s="73"/>
      <c r="CD68" s="73"/>
      <c r="CE68" s="83"/>
      <c r="CF68" s="73"/>
      <c r="CG68" s="77"/>
      <c r="CH68" s="147"/>
      <c r="CI68" s="77"/>
      <c r="CJ68" s="77"/>
      <c r="CK68" s="83"/>
      <c r="CL68" s="73"/>
      <c r="CM68" s="77"/>
      <c r="CN68" s="73"/>
      <c r="CO68" s="73"/>
      <c r="CP68" s="77"/>
      <c r="CQ68" s="73"/>
      <c r="CR68" s="73"/>
      <c r="CS68" s="83"/>
      <c r="CT68" s="73"/>
      <c r="CU68" s="77"/>
      <c r="CV68" s="147"/>
      <c r="CW68" s="77"/>
      <c r="CX68" s="77"/>
      <c r="CY68" s="83"/>
      <c r="CZ68" s="73"/>
      <c r="DA68" s="77"/>
      <c r="DB68" s="73"/>
      <c r="DC68" s="73"/>
      <c r="DD68" s="77"/>
      <c r="DE68" s="73"/>
      <c r="DF68" s="73"/>
      <c r="DG68" s="83"/>
      <c r="DH68" s="73"/>
      <c r="DI68" s="77"/>
      <c r="DJ68" s="147"/>
      <c r="DK68" s="77"/>
      <c r="DL68" s="77"/>
      <c r="DM68" s="83"/>
      <c r="DN68" s="73"/>
      <c r="DO68" s="77"/>
      <c r="DP68" s="73"/>
      <c r="DQ68" s="73"/>
      <c r="DR68" s="77"/>
      <c r="DS68" s="73"/>
      <c r="DT68" s="73"/>
      <c r="DU68" s="83"/>
      <c r="DV68" s="73"/>
      <c r="DW68" s="77"/>
      <c r="DX68" s="147"/>
      <c r="DY68" s="77"/>
      <c r="DZ68" s="77"/>
      <c r="EA68" s="83"/>
      <c r="EB68" s="73"/>
      <c r="EC68" s="77"/>
      <c r="ED68" s="73"/>
      <c r="EE68" s="73"/>
      <c r="EF68" s="77"/>
      <c r="EG68" s="73"/>
      <c r="EH68" s="73"/>
      <c r="EI68" s="83"/>
      <c r="EJ68" s="73"/>
      <c r="EK68" s="77"/>
      <c r="EL68" s="147"/>
      <c r="EN68" s="74"/>
      <c r="EO68" s="73"/>
      <c r="ER68" s="75"/>
      <c r="ES68" s="76"/>
      <c r="ET68" s="77"/>
      <c r="EU68" s="77"/>
      <c r="EV68" s="78"/>
      <c r="FA68" s="172"/>
      <c r="FB68" s="163"/>
      <c r="FC68" s="172"/>
      <c r="FH68" s="147"/>
      <c r="FL68" s="71"/>
      <c r="FM68" s="71"/>
      <c r="FN68" s="71"/>
      <c r="FO68" s="71"/>
      <c r="FP68" s="71"/>
      <c r="FQ68" s="71"/>
      <c r="FR68" s="71"/>
      <c r="FS68" s="147"/>
      <c r="FW68" s="71"/>
      <c r="FX68" s="71"/>
      <c r="FY68" s="71"/>
      <c r="FZ68" s="71"/>
      <c r="GA68" s="71"/>
      <c r="GB68" s="71"/>
      <c r="GC68" s="71"/>
      <c r="GD68" s="71"/>
      <c r="GE68" s="71"/>
      <c r="GF68" s="71"/>
      <c r="GG68" s="71"/>
      <c r="GH68" s="71"/>
      <c r="GI68" s="71"/>
      <c r="GJ68" s="71"/>
      <c r="GK68" s="71"/>
      <c r="GL68" s="71"/>
      <c r="GM68" s="71"/>
      <c r="GN68" s="71"/>
      <c r="GO68" s="71"/>
      <c r="GP68" s="71"/>
      <c r="GQ68" s="71"/>
      <c r="GR68" s="71"/>
      <c r="GS68" s="71"/>
      <c r="GT68" s="71"/>
      <c r="GU68" s="71"/>
      <c r="GV68" s="71"/>
      <c r="GW68" s="71"/>
      <c r="GX68" s="71"/>
      <c r="GY68" s="71"/>
      <c r="GZ68" s="71"/>
      <c r="HA68" s="71"/>
      <c r="HB68" s="71"/>
      <c r="HC68" s="71"/>
      <c r="HD68" s="71"/>
      <c r="HM68" s="83" t="s">
        <v>852</v>
      </c>
      <c r="HN68" s="73" t="str">
        <f>mehrsprachigkeitBegriffsrückgabe(gewählteSpracheZurückgeben(), "Fixed price")</f>
        <v>Anpassung mit fixem Preis</v>
      </c>
      <c r="HW68" s="83" t="s">
        <v>852</v>
      </c>
      <c r="HX68" s="73" t="str">
        <f>mehrsprachigkeitBegriffsrückgabe(gewählteSpracheZurückgeben(), "Fixed price")</f>
        <v>Anpassung mit fixem Preis</v>
      </c>
      <c r="HY68" s="77">
        <v>1</v>
      </c>
      <c r="KT68" s="74">
        <v>0</v>
      </c>
      <c r="KU68" s="73" t="str">
        <f>mehrsprachigkeitBegriffsrückgabe(gewählteSpracheZurückgeben(), "Percent")</f>
        <v>Prozentuale Anpassung</v>
      </c>
      <c r="KX68" s="75">
        <v>0</v>
      </c>
      <c r="LH68" s="72" t="s">
        <v>767</v>
      </c>
      <c r="LI68" s="72" t="s">
        <v>744</v>
      </c>
    </row>
    <row r="69" spans="1:321" ht="15.95" customHeight="1" x14ac:dyDescent="0.25">
      <c r="B69" s="162"/>
      <c r="C69" s="162"/>
      <c r="D69" s="162"/>
      <c r="F69" s="71" t="str">
        <f>mehrsprachigkeitBegriffsrückgabe(gewählteSpracheZurückgeben(), "Variant (foreign language)")</f>
        <v>Variante (Fremdsprache)</v>
      </c>
      <c r="H69" s="72" t="s">
        <v>859</v>
      </c>
      <c r="I69" s="72" t="s">
        <v>94</v>
      </c>
      <c r="BA69" s="147"/>
      <c r="BF69" s="147"/>
      <c r="BG69" s="83"/>
      <c r="BH69" s="73"/>
      <c r="BI69" s="147"/>
      <c r="BJ69" s="77"/>
      <c r="BK69" s="73"/>
      <c r="BL69" s="73"/>
      <c r="BM69" s="77"/>
      <c r="BN69" s="73"/>
      <c r="BO69" s="73"/>
      <c r="BP69" s="147"/>
      <c r="BQ69" s="83"/>
      <c r="BR69" s="73"/>
      <c r="BS69" s="77"/>
      <c r="BT69" s="147"/>
      <c r="BU69" s="77"/>
      <c r="BV69" s="77"/>
      <c r="BW69" s="83"/>
      <c r="BX69" s="73"/>
      <c r="BY69" s="77"/>
      <c r="BZ69" s="73"/>
      <c r="CA69" s="73"/>
      <c r="CB69" s="77"/>
      <c r="CC69" s="73"/>
      <c r="CD69" s="73"/>
      <c r="CE69" s="83"/>
      <c r="CF69" s="73"/>
      <c r="CG69" s="77"/>
      <c r="CH69" s="147"/>
      <c r="CI69" s="77"/>
      <c r="CJ69" s="77"/>
      <c r="CK69" s="83"/>
      <c r="CL69" s="73"/>
      <c r="CM69" s="77"/>
      <c r="CN69" s="73"/>
      <c r="CO69" s="73"/>
      <c r="CP69" s="77"/>
      <c r="CQ69" s="73"/>
      <c r="CR69" s="73"/>
      <c r="CS69" s="83"/>
      <c r="CT69" s="73"/>
      <c r="CU69" s="77"/>
      <c r="CV69" s="147"/>
      <c r="CW69" s="77"/>
      <c r="CX69" s="77"/>
      <c r="CY69" s="83"/>
      <c r="CZ69" s="73"/>
      <c r="DA69" s="77"/>
      <c r="DB69" s="73"/>
      <c r="DC69" s="73"/>
      <c r="DD69" s="77"/>
      <c r="DE69" s="73"/>
      <c r="DF69" s="73"/>
      <c r="DG69" s="83"/>
      <c r="DH69" s="73"/>
      <c r="DI69" s="77"/>
      <c r="DJ69" s="147"/>
      <c r="DK69" s="77"/>
      <c r="DL69" s="77"/>
      <c r="DM69" s="83"/>
      <c r="DN69" s="73"/>
      <c r="DO69" s="77"/>
      <c r="DP69" s="73"/>
      <c r="DQ69" s="73"/>
      <c r="DR69" s="77"/>
      <c r="DS69" s="73"/>
      <c r="DT69" s="73"/>
      <c r="DU69" s="83"/>
      <c r="DV69" s="73"/>
      <c r="DW69" s="77"/>
      <c r="DX69" s="147"/>
      <c r="DY69" s="77"/>
      <c r="DZ69" s="77"/>
      <c r="EA69" s="83"/>
      <c r="EB69" s="73"/>
      <c r="EC69" s="77"/>
      <c r="ED69" s="73"/>
      <c r="EE69" s="73"/>
      <c r="EF69" s="77"/>
      <c r="EG69" s="73"/>
      <c r="EH69" s="73"/>
      <c r="EI69" s="83"/>
      <c r="EJ69" s="73"/>
      <c r="EK69" s="77"/>
      <c r="EL69" s="147"/>
      <c r="EN69" s="74"/>
      <c r="EO69" s="73"/>
      <c r="ER69" s="75"/>
      <c r="ES69" s="76"/>
      <c r="ET69" s="77"/>
      <c r="EU69" s="77"/>
      <c r="EV69" s="78"/>
      <c r="FA69" s="172"/>
      <c r="FB69" s="163"/>
      <c r="FC69" s="172"/>
      <c r="FH69" s="147"/>
      <c r="FL69" s="71"/>
      <c r="FM69" s="71"/>
      <c r="FN69" s="71"/>
      <c r="FO69" s="71"/>
      <c r="FP69" s="71"/>
      <c r="FQ69" s="71"/>
      <c r="FR69" s="71"/>
      <c r="FS69" s="147"/>
      <c r="FW69" s="71"/>
      <c r="FX69" s="71"/>
      <c r="FY69" s="71"/>
      <c r="FZ69" s="71"/>
      <c r="GA69" s="71"/>
      <c r="GB69" s="71"/>
      <c r="GC69" s="71"/>
      <c r="GD69" s="71"/>
      <c r="GE69" s="71"/>
      <c r="GF69" s="71"/>
      <c r="GG69" s="71"/>
      <c r="GH69" s="71"/>
      <c r="GI69" s="71"/>
      <c r="GJ69" s="71"/>
      <c r="GK69" s="71"/>
      <c r="GL69" s="71"/>
      <c r="GM69" s="71"/>
      <c r="GN69" s="71"/>
      <c r="GO69" s="71"/>
      <c r="GP69" s="71"/>
      <c r="GQ69" s="71"/>
      <c r="GR69" s="71"/>
      <c r="GS69" s="71"/>
      <c r="GT69" s="71"/>
      <c r="GU69" s="71"/>
      <c r="GV69" s="71"/>
      <c r="GW69" s="71"/>
      <c r="GX69" s="71"/>
      <c r="GY69" s="71"/>
      <c r="GZ69" s="71"/>
      <c r="HA69" s="71"/>
      <c r="HB69" s="71"/>
      <c r="HC69" s="71"/>
      <c r="HD69" s="71"/>
    </row>
    <row r="70" spans="1:321" ht="15.95" customHeight="1" x14ac:dyDescent="0.25">
      <c r="A70" s="71">
        <v>2176</v>
      </c>
      <c r="B70" s="162"/>
      <c r="C70" s="162"/>
      <c r="D70" s="162">
        <v>1</v>
      </c>
      <c r="F70" s="71" t="str">
        <f>mehrsprachigkeitBegriffsrückgabe(gewählteSpracheZurückgeben(), "Variant")</f>
        <v>Variante</v>
      </c>
      <c r="G70" s="72" t="s">
        <v>860</v>
      </c>
      <c r="H70" s="72" t="s">
        <v>826</v>
      </c>
      <c r="I70" s="72" t="s">
        <v>86</v>
      </c>
      <c r="K70" s="72" t="s">
        <v>861</v>
      </c>
      <c r="M70" s="150" t="s">
        <v>700</v>
      </c>
      <c r="N70" s="72" t="s">
        <v>718</v>
      </c>
      <c r="O70" s="72" t="s">
        <v>699</v>
      </c>
      <c r="P70" s="72" t="s">
        <v>710</v>
      </c>
      <c r="Q70" s="72" t="s">
        <v>702</v>
      </c>
      <c r="R70" s="72" t="s">
        <v>730</v>
      </c>
      <c r="S70" s="72" t="s">
        <v>701</v>
      </c>
      <c r="T70" s="72" t="s">
        <v>721</v>
      </c>
      <c r="BA70" s="147"/>
      <c r="BF70" s="147"/>
      <c r="BG70" s="83"/>
      <c r="BH70" s="73"/>
      <c r="BI70" s="147"/>
      <c r="BJ70" s="77"/>
      <c r="BK70" s="73"/>
      <c r="BL70" s="73"/>
      <c r="BM70" s="77"/>
      <c r="BN70" s="73"/>
      <c r="BO70" s="73"/>
      <c r="BP70" s="147"/>
      <c r="BQ70" s="83"/>
      <c r="BR70" s="73"/>
      <c r="BS70" s="77"/>
      <c r="BT70" s="147"/>
      <c r="BU70" s="77"/>
      <c r="BV70" s="77"/>
      <c r="BW70" s="83"/>
      <c r="BX70" s="73"/>
      <c r="BY70" s="77"/>
      <c r="BZ70" s="73"/>
      <c r="CA70" s="73"/>
      <c r="CB70" s="77"/>
      <c r="CC70" s="73"/>
      <c r="CD70" s="73"/>
      <c r="CE70" s="83"/>
      <c r="CF70" s="73"/>
      <c r="CG70" s="77"/>
      <c r="CH70" s="147"/>
      <c r="CI70" s="77"/>
      <c r="CJ70" s="77"/>
      <c r="CK70" s="83"/>
      <c r="CL70" s="73"/>
      <c r="CM70" s="77"/>
      <c r="CN70" s="73"/>
      <c r="CO70" s="73"/>
      <c r="CP70" s="77"/>
      <c r="CQ70" s="73"/>
      <c r="CR70" s="73"/>
      <c r="CS70" s="83"/>
      <c r="CT70" s="73"/>
      <c r="CU70" s="77"/>
      <c r="CV70" s="147"/>
      <c r="CW70" s="77"/>
      <c r="CX70" s="77"/>
      <c r="CY70" s="83"/>
      <c r="CZ70" s="73"/>
      <c r="DA70" s="77"/>
      <c r="DB70" s="73"/>
      <c r="DC70" s="73"/>
      <c r="DD70" s="77"/>
      <c r="DE70" s="73"/>
      <c r="DF70" s="73"/>
      <c r="DG70" s="83"/>
      <c r="DH70" s="73"/>
      <c r="DI70" s="77"/>
      <c r="DJ70" s="147"/>
      <c r="DK70" s="77"/>
      <c r="DL70" s="77"/>
      <c r="DM70" s="83"/>
      <c r="DN70" s="73"/>
      <c r="DO70" s="77"/>
      <c r="DP70" s="73"/>
      <c r="DQ70" s="73"/>
      <c r="DR70" s="77"/>
      <c r="DS70" s="73"/>
      <c r="DT70" s="73"/>
      <c r="DU70" s="83"/>
      <c r="DV70" s="73"/>
      <c r="DW70" s="77"/>
      <c r="DX70" s="147"/>
      <c r="DY70" s="77"/>
      <c r="DZ70" s="77"/>
      <c r="EA70" s="83"/>
      <c r="EB70" s="73"/>
      <c r="EC70" s="77"/>
      <c r="ED70" s="73"/>
      <c r="EE70" s="73"/>
      <c r="EF70" s="77"/>
      <c r="EG70" s="73"/>
      <c r="EH70" s="73"/>
      <c r="EI70" s="83"/>
      <c r="EJ70" s="73"/>
      <c r="EK70" s="77"/>
      <c r="EL70" s="147"/>
      <c r="EN70" s="74"/>
      <c r="EO70" s="73"/>
      <c r="ER70" s="75"/>
      <c r="ES70" s="76"/>
      <c r="ET70" s="77"/>
      <c r="EU70" s="77"/>
      <c r="EV70" s="78"/>
      <c r="FA70" s="172"/>
      <c r="FB70" s="163"/>
      <c r="FC70" s="172"/>
      <c r="FH70" s="147"/>
      <c r="FL70" s="71"/>
      <c r="FM70" s="71"/>
      <c r="FN70" s="71"/>
      <c r="FO70" s="71"/>
      <c r="FP70" s="71"/>
      <c r="FQ70" s="71"/>
      <c r="FR70" s="71"/>
      <c r="FS70" s="147"/>
      <c r="FW70" s="71"/>
      <c r="FX70" s="71"/>
      <c r="FY70" s="71"/>
      <c r="FZ70" s="71"/>
      <c r="GA70" s="71"/>
      <c r="GB70" s="71"/>
      <c r="GC70" s="71"/>
      <c r="GD70" s="71"/>
      <c r="GE70" s="71"/>
      <c r="GF70" s="71"/>
      <c r="GG70" s="71"/>
      <c r="GH70" s="71"/>
      <c r="GI70" s="71"/>
      <c r="GJ70" s="71"/>
      <c r="GK70" s="71"/>
      <c r="GL70" s="71"/>
      <c r="GM70" s="71"/>
      <c r="GN70" s="71"/>
      <c r="GO70" s="71"/>
      <c r="GP70" s="71"/>
      <c r="GQ70" s="71"/>
      <c r="GR70" s="71"/>
      <c r="GS70" s="71"/>
      <c r="GT70" s="71"/>
      <c r="GU70" s="71"/>
      <c r="GV70" s="71"/>
      <c r="GW70" s="71"/>
      <c r="GX70" s="71"/>
      <c r="GY70" s="71"/>
      <c r="GZ70" s="71"/>
      <c r="HA70" s="71"/>
      <c r="HB70" s="71"/>
      <c r="HC70" s="71"/>
      <c r="HD70" s="71"/>
      <c r="HM70" s="83" t="s">
        <v>862</v>
      </c>
      <c r="HN70" s="73" t="str">
        <f>mehrsprachigkeitBegriffsrückgabe(gewählteSpracheZurückgeben(), "Fixed price")</f>
        <v>Anpassung mit fixem Preis</v>
      </c>
      <c r="HW70" s="83" t="s">
        <v>862</v>
      </c>
      <c r="HX70" s="73" t="str">
        <f>mehrsprachigkeitBegriffsrückgabe(gewählteSpracheZurückgeben(), "Fixed price")</f>
        <v>Anpassung mit fixem Preis</v>
      </c>
      <c r="HY70" s="77">
        <v>1</v>
      </c>
      <c r="KT70" s="74">
        <v>0</v>
      </c>
      <c r="KU70" s="73" t="str">
        <f>mehrsprachigkeitBegriffsrückgabe(gewählteSpracheZurückgeben(), "Percent")</f>
        <v>Prozentuale Anpassung</v>
      </c>
      <c r="KX70" s="75">
        <v>0</v>
      </c>
      <c r="LH70" s="72" t="s">
        <v>767</v>
      </c>
      <c r="LI70" s="72" t="s">
        <v>744</v>
      </c>
    </row>
    <row r="71" spans="1:321" ht="15.95" customHeight="1" x14ac:dyDescent="0.25">
      <c r="B71" s="162"/>
      <c r="C71" s="162"/>
      <c r="D71" s="162"/>
      <c r="F71" s="71" t="str">
        <f>mehrsprachigkeitBegriffsrückgabe(gewählteSpracheZurückgeben(), "Variant (foreign language)")</f>
        <v>Variante (Fremdsprache)</v>
      </c>
      <c r="H71" s="72" t="s">
        <v>860</v>
      </c>
      <c r="I71" s="72" t="s">
        <v>94</v>
      </c>
      <c r="BA71" s="147"/>
      <c r="BF71" s="147"/>
      <c r="BG71" s="83"/>
      <c r="BH71" s="73"/>
      <c r="BI71" s="147"/>
      <c r="BJ71" s="77"/>
      <c r="BK71" s="73"/>
      <c r="BL71" s="73"/>
      <c r="BM71" s="77"/>
      <c r="BN71" s="73"/>
      <c r="BO71" s="73"/>
      <c r="BP71" s="147"/>
      <c r="BQ71" s="83"/>
      <c r="BR71" s="73"/>
      <c r="BS71" s="77"/>
      <c r="BT71" s="147"/>
      <c r="BU71" s="77"/>
      <c r="BV71" s="77"/>
      <c r="BW71" s="83"/>
      <c r="BX71" s="73"/>
      <c r="BY71" s="77"/>
      <c r="BZ71" s="73"/>
      <c r="CA71" s="73"/>
      <c r="CB71" s="77"/>
      <c r="CC71" s="73"/>
      <c r="CD71" s="73"/>
      <c r="CE71" s="83"/>
      <c r="CF71" s="73"/>
      <c r="CG71" s="77"/>
      <c r="CH71" s="147"/>
      <c r="CI71" s="77"/>
      <c r="CJ71" s="77"/>
      <c r="CK71" s="83"/>
      <c r="CL71" s="73"/>
      <c r="CM71" s="77"/>
      <c r="CN71" s="73"/>
      <c r="CO71" s="73"/>
      <c r="CP71" s="77"/>
      <c r="CQ71" s="73"/>
      <c r="CR71" s="73"/>
      <c r="CS71" s="83"/>
      <c r="CT71" s="73"/>
      <c r="CU71" s="77"/>
      <c r="CV71" s="147"/>
      <c r="CW71" s="77"/>
      <c r="CX71" s="77"/>
      <c r="CY71" s="83"/>
      <c r="CZ71" s="73"/>
      <c r="DA71" s="77"/>
      <c r="DB71" s="73"/>
      <c r="DC71" s="73"/>
      <c r="DD71" s="77"/>
      <c r="DE71" s="73"/>
      <c r="DF71" s="73"/>
      <c r="DG71" s="83"/>
      <c r="DH71" s="73"/>
      <c r="DI71" s="77"/>
      <c r="DJ71" s="147"/>
      <c r="DK71" s="77"/>
      <c r="DL71" s="77"/>
      <c r="DM71" s="83"/>
      <c r="DN71" s="73"/>
      <c r="DO71" s="77"/>
      <c r="DP71" s="73"/>
      <c r="DQ71" s="73"/>
      <c r="DR71" s="77"/>
      <c r="DS71" s="73"/>
      <c r="DT71" s="73"/>
      <c r="DU71" s="83"/>
      <c r="DV71" s="73"/>
      <c r="DW71" s="77"/>
      <c r="DX71" s="147"/>
      <c r="DY71" s="77"/>
      <c r="DZ71" s="77"/>
      <c r="EA71" s="83"/>
      <c r="EB71" s="73"/>
      <c r="EC71" s="77"/>
      <c r="ED71" s="73"/>
      <c r="EE71" s="73"/>
      <c r="EF71" s="77"/>
      <c r="EG71" s="73"/>
      <c r="EH71" s="73"/>
      <c r="EI71" s="83"/>
      <c r="EJ71" s="73"/>
      <c r="EK71" s="77"/>
      <c r="EL71" s="147"/>
      <c r="EN71" s="74"/>
      <c r="EO71" s="73"/>
      <c r="ER71" s="75"/>
      <c r="ES71" s="76"/>
      <c r="ET71" s="77"/>
      <c r="EU71" s="77"/>
      <c r="EV71" s="78"/>
      <c r="FA71" s="172"/>
      <c r="FB71" s="163"/>
      <c r="FC71" s="172"/>
      <c r="FH71" s="147"/>
      <c r="FL71" s="71"/>
      <c r="FM71" s="71"/>
      <c r="FN71" s="71"/>
      <c r="FO71" s="71"/>
      <c r="FP71" s="71"/>
      <c r="FQ71" s="71"/>
      <c r="FR71" s="71"/>
      <c r="FS71" s="147"/>
      <c r="FW71" s="71"/>
      <c r="FX71" s="71"/>
      <c r="FY71" s="71"/>
      <c r="FZ71" s="71"/>
      <c r="GA71" s="71"/>
      <c r="GB71" s="71"/>
      <c r="GC71" s="71"/>
      <c r="GD71" s="71"/>
      <c r="GE71" s="71"/>
      <c r="GF71" s="71"/>
      <c r="GG71" s="71"/>
      <c r="GH71" s="71"/>
      <c r="GI71" s="71"/>
      <c r="GJ71" s="71"/>
      <c r="GK71" s="71"/>
      <c r="GL71" s="71"/>
      <c r="GM71" s="71"/>
      <c r="GN71" s="71"/>
      <c r="GO71" s="71"/>
      <c r="GP71" s="71"/>
      <c r="GQ71" s="71"/>
      <c r="GR71" s="71"/>
      <c r="GS71" s="71"/>
      <c r="GT71" s="71"/>
      <c r="GU71" s="71"/>
      <c r="GV71" s="71"/>
      <c r="GW71" s="71"/>
      <c r="GX71" s="71"/>
      <c r="GY71" s="71"/>
      <c r="GZ71" s="71"/>
      <c r="HA71" s="71"/>
      <c r="HB71" s="71"/>
      <c r="HC71" s="71"/>
      <c r="HD71" s="71"/>
    </row>
    <row r="72" spans="1:321" ht="15.95" customHeight="1" x14ac:dyDescent="0.25">
      <c r="A72" s="71">
        <v>2304</v>
      </c>
      <c r="B72" s="162"/>
      <c r="C72" s="162"/>
      <c r="D72" s="162">
        <v>1</v>
      </c>
      <c r="F72" s="71" t="str">
        <f>mehrsprachigkeitBegriffsrückgabe(gewählteSpracheZurückgeben(), "Variant")</f>
        <v>Variante</v>
      </c>
      <c r="G72" s="72" t="s">
        <v>863</v>
      </c>
      <c r="H72" s="72" t="s">
        <v>826</v>
      </c>
      <c r="I72" s="72" t="s">
        <v>86</v>
      </c>
      <c r="K72" s="72" t="s">
        <v>864</v>
      </c>
      <c r="M72" s="150" t="s">
        <v>700</v>
      </c>
      <c r="N72" s="72" t="s">
        <v>715</v>
      </c>
      <c r="O72" s="72" t="s">
        <v>699</v>
      </c>
      <c r="P72" s="72" t="s">
        <v>709</v>
      </c>
      <c r="Q72" s="72" t="s">
        <v>702</v>
      </c>
      <c r="R72" s="72" t="s">
        <v>730</v>
      </c>
      <c r="S72" s="72" t="s">
        <v>701</v>
      </c>
      <c r="T72" s="72" t="s">
        <v>723</v>
      </c>
      <c r="BA72" s="147"/>
      <c r="BF72" s="147"/>
      <c r="BG72" s="83"/>
      <c r="BH72" s="73"/>
      <c r="BI72" s="147"/>
      <c r="BJ72" s="77"/>
      <c r="BK72" s="73"/>
      <c r="BL72" s="73"/>
      <c r="BM72" s="77"/>
      <c r="BN72" s="73"/>
      <c r="BO72" s="73"/>
      <c r="BP72" s="147"/>
      <c r="BQ72" s="83"/>
      <c r="BR72" s="73"/>
      <c r="BS72" s="77"/>
      <c r="BT72" s="147"/>
      <c r="BU72" s="77"/>
      <c r="BV72" s="77"/>
      <c r="BW72" s="83"/>
      <c r="BX72" s="73"/>
      <c r="BY72" s="77"/>
      <c r="BZ72" s="73"/>
      <c r="CA72" s="73"/>
      <c r="CB72" s="77"/>
      <c r="CC72" s="73"/>
      <c r="CD72" s="73"/>
      <c r="CE72" s="83"/>
      <c r="CF72" s="73"/>
      <c r="CG72" s="77"/>
      <c r="CH72" s="147"/>
      <c r="CI72" s="77"/>
      <c r="CJ72" s="77"/>
      <c r="CK72" s="83"/>
      <c r="CL72" s="73"/>
      <c r="CM72" s="77"/>
      <c r="CN72" s="73"/>
      <c r="CO72" s="73"/>
      <c r="CP72" s="77"/>
      <c r="CQ72" s="73"/>
      <c r="CR72" s="73"/>
      <c r="CS72" s="83"/>
      <c r="CT72" s="73"/>
      <c r="CU72" s="77"/>
      <c r="CV72" s="147"/>
      <c r="CW72" s="77"/>
      <c r="CX72" s="77"/>
      <c r="CY72" s="83"/>
      <c r="CZ72" s="73"/>
      <c r="DA72" s="77"/>
      <c r="DB72" s="73"/>
      <c r="DC72" s="73"/>
      <c r="DD72" s="77"/>
      <c r="DE72" s="73"/>
      <c r="DF72" s="73"/>
      <c r="DG72" s="83"/>
      <c r="DH72" s="73"/>
      <c r="DI72" s="77"/>
      <c r="DJ72" s="147"/>
      <c r="DK72" s="77"/>
      <c r="DL72" s="77"/>
      <c r="DM72" s="83"/>
      <c r="DN72" s="73"/>
      <c r="DO72" s="77"/>
      <c r="DP72" s="73"/>
      <c r="DQ72" s="73"/>
      <c r="DR72" s="77"/>
      <c r="DS72" s="73"/>
      <c r="DT72" s="73"/>
      <c r="DU72" s="83"/>
      <c r="DV72" s="73"/>
      <c r="DW72" s="77"/>
      <c r="DX72" s="147"/>
      <c r="DY72" s="77"/>
      <c r="DZ72" s="77"/>
      <c r="EA72" s="83"/>
      <c r="EB72" s="73"/>
      <c r="EC72" s="77"/>
      <c r="ED72" s="73"/>
      <c r="EE72" s="73"/>
      <c r="EF72" s="77"/>
      <c r="EG72" s="73"/>
      <c r="EH72" s="73"/>
      <c r="EI72" s="83"/>
      <c r="EJ72" s="73"/>
      <c r="EK72" s="77"/>
      <c r="EL72" s="147"/>
      <c r="EN72" s="74"/>
      <c r="EO72" s="73"/>
      <c r="ER72" s="75"/>
      <c r="ES72" s="76"/>
      <c r="ET72" s="77"/>
      <c r="EU72" s="77"/>
      <c r="EV72" s="78"/>
      <c r="FA72" s="172"/>
      <c r="FB72" s="163"/>
      <c r="FC72" s="172"/>
      <c r="FH72" s="147"/>
      <c r="FL72" s="71"/>
      <c r="FM72" s="71"/>
      <c r="FN72" s="71"/>
      <c r="FO72" s="71"/>
      <c r="FP72" s="71"/>
      <c r="FQ72" s="71"/>
      <c r="FR72" s="71"/>
      <c r="FS72" s="147"/>
      <c r="FW72" s="71"/>
      <c r="FX72" s="71"/>
      <c r="FY72" s="71"/>
      <c r="FZ72" s="71"/>
      <c r="GA72" s="71"/>
      <c r="GB72" s="71"/>
      <c r="GC72" s="71"/>
      <c r="GD72" s="71"/>
      <c r="GE72" s="71"/>
      <c r="GF72" s="71"/>
      <c r="GG72" s="71"/>
      <c r="GH72" s="71"/>
      <c r="GI72" s="71"/>
      <c r="GJ72" s="71"/>
      <c r="GK72" s="71"/>
      <c r="GL72" s="71"/>
      <c r="GM72" s="71"/>
      <c r="GN72" s="71"/>
      <c r="GO72" s="71"/>
      <c r="GP72" s="71"/>
      <c r="GQ72" s="71"/>
      <c r="GR72" s="71"/>
      <c r="GS72" s="71"/>
      <c r="GT72" s="71"/>
      <c r="GU72" s="71"/>
      <c r="GV72" s="71"/>
      <c r="GW72" s="71"/>
      <c r="GX72" s="71"/>
      <c r="GY72" s="71"/>
      <c r="GZ72" s="71"/>
      <c r="HA72" s="71"/>
      <c r="HB72" s="71"/>
      <c r="HC72" s="71"/>
      <c r="HD72" s="71"/>
      <c r="HM72" s="83">
        <v>126.0504</v>
      </c>
      <c r="HN72" s="73" t="str">
        <f>mehrsprachigkeitBegriffsrückgabe(gewählteSpracheZurückgeben(), "Fixed price")</f>
        <v>Anpassung mit fixem Preis</v>
      </c>
      <c r="HW72" s="83">
        <v>126.0504</v>
      </c>
      <c r="HX72" s="73" t="str">
        <f>mehrsprachigkeitBegriffsrückgabe(gewählteSpracheZurückgeben(), "Fixed price")</f>
        <v>Anpassung mit fixem Preis</v>
      </c>
      <c r="HY72" s="77">
        <v>1</v>
      </c>
      <c r="KT72" s="74">
        <v>0</v>
      </c>
      <c r="KU72" s="73" t="str">
        <f>mehrsprachigkeitBegriffsrückgabe(gewählteSpracheZurückgeben(), "Percent")</f>
        <v>Prozentuale Anpassung</v>
      </c>
      <c r="KX72" s="75">
        <v>0</v>
      </c>
      <c r="LH72" s="72" t="s">
        <v>767</v>
      </c>
      <c r="LI72" s="72" t="s">
        <v>744</v>
      </c>
    </row>
    <row r="73" spans="1:321" ht="15.95" customHeight="1" x14ac:dyDescent="0.25">
      <c r="B73" s="162"/>
      <c r="C73" s="162"/>
      <c r="D73" s="162"/>
      <c r="F73" s="71" t="str">
        <f>mehrsprachigkeitBegriffsrückgabe(gewählteSpracheZurückgeben(), "Variant (foreign language)")</f>
        <v>Variante (Fremdsprache)</v>
      </c>
      <c r="H73" s="72" t="s">
        <v>863</v>
      </c>
      <c r="I73" s="72" t="s">
        <v>94</v>
      </c>
      <c r="BA73" s="147"/>
      <c r="BF73" s="147"/>
      <c r="BG73" s="83"/>
      <c r="BH73" s="73"/>
      <c r="BI73" s="147"/>
      <c r="BJ73" s="77"/>
      <c r="BK73" s="73"/>
      <c r="BL73" s="73"/>
      <c r="BM73" s="77"/>
      <c r="BN73" s="73"/>
      <c r="BO73" s="73"/>
      <c r="BP73" s="147"/>
      <c r="BQ73" s="83"/>
      <c r="BR73" s="73"/>
      <c r="BS73" s="77"/>
      <c r="BT73" s="147"/>
      <c r="BU73" s="77"/>
      <c r="BV73" s="77"/>
      <c r="BW73" s="83"/>
      <c r="BX73" s="73"/>
      <c r="BY73" s="77"/>
      <c r="BZ73" s="73"/>
      <c r="CA73" s="73"/>
      <c r="CB73" s="77"/>
      <c r="CC73" s="73"/>
      <c r="CD73" s="73"/>
      <c r="CE73" s="83"/>
      <c r="CF73" s="73"/>
      <c r="CG73" s="77"/>
      <c r="CH73" s="147"/>
      <c r="CI73" s="77"/>
      <c r="CJ73" s="77"/>
      <c r="CK73" s="83"/>
      <c r="CL73" s="73"/>
      <c r="CM73" s="77"/>
      <c r="CN73" s="73"/>
      <c r="CO73" s="73"/>
      <c r="CP73" s="77"/>
      <c r="CQ73" s="73"/>
      <c r="CR73" s="73"/>
      <c r="CS73" s="83"/>
      <c r="CT73" s="73"/>
      <c r="CU73" s="77"/>
      <c r="CV73" s="147"/>
      <c r="CW73" s="77"/>
      <c r="CX73" s="77"/>
      <c r="CY73" s="83"/>
      <c r="CZ73" s="73"/>
      <c r="DA73" s="77"/>
      <c r="DB73" s="73"/>
      <c r="DC73" s="73"/>
      <c r="DD73" s="77"/>
      <c r="DE73" s="73"/>
      <c r="DF73" s="73"/>
      <c r="DG73" s="83"/>
      <c r="DH73" s="73"/>
      <c r="DI73" s="77"/>
      <c r="DJ73" s="147"/>
      <c r="DK73" s="77"/>
      <c r="DL73" s="77"/>
      <c r="DM73" s="83"/>
      <c r="DN73" s="73"/>
      <c r="DO73" s="77"/>
      <c r="DP73" s="73"/>
      <c r="DQ73" s="73"/>
      <c r="DR73" s="77"/>
      <c r="DS73" s="73"/>
      <c r="DT73" s="73"/>
      <c r="DU73" s="83"/>
      <c r="DV73" s="73"/>
      <c r="DW73" s="77"/>
      <c r="DX73" s="147"/>
      <c r="DY73" s="77"/>
      <c r="DZ73" s="77"/>
      <c r="EA73" s="83"/>
      <c r="EB73" s="73"/>
      <c r="EC73" s="77"/>
      <c r="ED73" s="73"/>
      <c r="EE73" s="73"/>
      <c r="EF73" s="77"/>
      <c r="EG73" s="73"/>
      <c r="EH73" s="73"/>
      <c r="EI73" s="83"/>
      <c r="EJ73" s="73"/>
      <c r="EK73" s="77"/>
      <c r="EL73" s="147"/>
      <c r="EN73" s="74"/>
      <c r="EO73" s="73"/>
      <c r="ER73" s="75"/>
      <c r="ES73" s="76"/>
      <c r="ET73" s="77"/>
      <c r="EU73" s="77"/>
      <c r="EV73" s="78"/>
      <c r="FA73" s="172"/>
      <c r="FB73" s="163"/>
      <c r="FC73" s="172"/>
      <c r="FH73" s="147"/>
      <c r="FL73" s="71"/>
      <c r="FM73" s="71"/>
      <c r="FN73" s="71"/>
      <c r="FO73" s="71"/>
      <c r="FP73" s="71"/>
      <c r="FQ73" s="71"/>
      <c r="FR73" s="71"/>
      <c r="FS73" s="147"/>
      <c r="FW73" s="71"/>
      <c r="FX73" s="71"/>
      <c r="FY73" s="71"/>
      <c r="FZ73" s="71"/>
      <c r="GA73" s="71"/>
      <c r="GB73" s="71"/>
      <c r="GC73" s="71"/>
      <c r="GD73" s="71"/>
      <c r="GE73" s="71"/>
      <c r="GF73" s="71"/>
      <c r="GG73" s="71"/>
      <c r="GH73" s="71"/>
      <c r="GI73" s="71"/>
      <c r="GJ73" s="71"/>
      <c r="GK73" s="71"/>
      <c r="GL73" s="71"/>
      <c r="GM73" s="71"/>
      <c r="GN73" s="71"/>
      <c r="GO73" s="71"/>
      <c r="GP73" s="71"/>
      <c r="GQ73" s="71"/>
      <c r="GR73" s="71"/>
      <c r="GS73" s="71"/>
      <c r="GT73" s="71"/>
      <c r="GU73" s="71"/>
      <c r="GV73" s="71"/>
      <c r="GW73" s="71"/>
      <c r="GX73" s="71"/>
      <c r="GY73" s="71"/>
      <c r="GZ73" s="71"/>
      <c r="HA73" s="71"/>
      <c r="HB73" s="71"/>
      <c r="HC73" s="71"/>
      <c r="HD73" s="71"/>
    </row>
    <row r="74" spans="1:321" ht="15.95" customHeight="1" x14ac:dyDescent="0.25">
      <c r="A74" s="71">
        <v>2432</v>
      </c>
      <c r="B74" s="162"/>
      <c r="C74" s="162"/>
      <c r="D74" s="162">
        <v>1</v>
      </c>
      <c r="F74" s="71" t="str">
        <f>mehrsprachigkeitBegriffsrückgabe(gewählteSpracheZurückgeben(), "Variant")</f>
        <v>Variante</v>
      </c>
      <c r="G74" s="72" t="s">
        <v>865</v>
      </c>
      <c r="H74" s="72" t="s">
        <v>826</v>
      </c>
      <c r="I74" s="72" t="s">
        <v>86</v>
      </c>
      <c r="K74" s="72" t="s">
        <v>866</v>
      </c>
      <c r="M74" s="150" t="s">
        <v>700</v>
      </c>
      <c r="N74" s="72" t="s">
        <v>715</v>
      </c>
      <c r="O74" s="72" t="s">
        <v>699</v>
      </c>
      <c r="P74" s="72" t="s">
        <v>709</v>
      </c>
      <c r="Q74" s="72" t="s">
        <v>702</v>
      </c>
      <c r="R74" s="72" t="s">
        <v>730</v>
      </c>
      <c r="S74" s="72" t="s">
        <v>701</v>
      </c>
      <c r="T74" s="72" t="s">
        <v>724</v>
      </c>
      <c r="BA74" s="147"/>
      <c r="BF74" s="147"/>
      <c r="BG74" s="83"/>
      <c r="BH74" s="73"/>
      <c r="BI74" s="147"/>
      <c r="BJ74" s="77"/>
      <c r="BK74" s="73"/>
      <c r="BL74" s="73"/>
      <c r="BM74" s="77"/>
      <c r="BN74" s="73"/>
      <c r="BO74" s="73"/>
      <c r="BP74" s="147"/>
      <c r="BQ74" s="83"/>
      <c r="BR74" s="73"/>
      <c r="BS74" s="77"/>
      <c r="BT74" s="147"/>
      <c r="BU74" s="77"/>
      <c r="BV74" s="77"/>
      <c r="BW74" s="83"/>
      <c r="BX74" s="73"/>
      <c r="BY74" s="77"/>
      <c r="BZ74" s="73"/>
      <c r="CA74" s="73"/>
      <c r="CB74" s="77"/>
      <c r="CC74" s="73"/>
      <c r="CD74" s="73"/>
      <c r="CE74" s="83"/>
      <c r="CF74" s="73"/>
      <c r="CG74" s="77"/>
      <c r="CH74" s="147"/>
      <c r="CI74" s="77"/>
      <c r="CJ74" s="77"/>
      <c r="CK74" s="83"/>
      <c r="CL74" s="73"/>
      <c r="CM74" s="77"/>
      <c r="CN74" s="73"/>
      <c r="CO74" s="73"/>
      <c r="CP74" s="77"/>
      <c r="CQ74" s="73"/>
      <c r="CR74" s="73"/>
      <c r="CS74" s="83"/>
      <c r="CT74" s="73"/>
      <c r="CU74" s="77"/>
      <c r="CV74" s="147"/>
      <c r="CW74" s="77"/>
      <c r="CX74" s="77"/>
      <c r="CY74" s="83"/>
      <c r="CZ74" s="73"/>
      <c r="DA74" s="77"/>
      <c r="DB74" s="73"/>
      <c r="DC74" s="73"/>
      <c r="DD74" s="77"/>
      <c r="DE74" s="73"/>
      <c r="DF74" s="73"/>
      <c r="DG74" s="83"/>
      <c r="DH74" s="73"/>
      <c r="DI74" s="77"/>
      <c r="DJ74" s="147"/>
      <c r="DK74" s="77"/>
      <c r="DL74" s="77"/>
      <c r="DM74" s="83"/>
      <c r="DN74" s="73"/>
      <c r="DO74" s="77"/>
      <c r="DP74" s="73"/>
      <c r="DQ74" s="73"/>
      <c r="DR74" s="77"/>
      <c r="DS74" s="73"/>
      <c r="DT74" s="73"/>
      <c r="DU74" s="83"/>
      <c r="DV74" s="73"/>
      <c r="DW74" s="77"/>
      <c r="DX74" s="147"/>
      <c r="DY74" s="77"/>
      <c r="DZ74" s="77"/>
      <c r="EA74" s="83"/>
      <c r="EB74" s="73"/>
      <c r="EC74" s="77"/>
      <c r="ED74" s="73"/>
      <c r="EE74" s="73"/>
      <c r="EF74" s="77"/>
      <c r="EG74" s="73"/>
      <c r="EH74" s="73"/>
      <c r="EI74" s="83"/>
      <c r="EJ74" s="73"/>
      <c r="EK74" s="77"/>
      <c r="EL74" s="147"/>
      <c r="EN74" s="74"/>
      <c r="EO74" s="73"/>
      <c r="ER74" s="75"/>
      <c r="ES74" s="76"/>
      <c r="ET74" s="77"/>
      <c r="EU74" s="77"/>
      <c r="EV74" s="78"/>
      <c r="FA74" s="172"/>
      <c r="FB74" s="163"/>
      <c r="FC74" s="172"/>
      <c r="FH74" s="147"/>
      <c r="FL74" s="71"/>
      <c r="FM74" s="71"/>
      <c r="FN74" s="71"/>
      <c r="FO74" s="71"/>
      <c r="FP74" s="71"/>
      <c r="FQ74" s="71"/>
      <c r="FR74" s="71"/>
      <c r="FS74" s="147"/>
      <c r="FW74" s="71"/>
      <c r="FX74" s="71"/>
      <c r="FY74" s="71"/>
      <c r="FZ74" s="71"/>
      <c r="GA74" s="71"/>
      <c r="GB74" s="71"/>
      <c r="GC74" s="71"/>
      <c r="GD74" s="71"/>
      <c r="GE74" s="71"/>
      <c r="GF74" s="71"/>
      <c r="GG74" s="71"/>
      <c r="GH74" s="71"/>
      <c r="GI74" s="71"/>
      <c r="GJ74" s="71"/>
      <c r="GK74" s="71"/>
      <c r="GL74" s="71"/>
      <c r="GM74" s="71"/>
      <c r="GN74" s="71"/>
      <c r="GO74" s="71"/>
      <c r="GP74" s="71"/>
      <c r="GQ74" s="71"/>
      <c r="GR74" s="71"/>
      <c r="GS74" s="71"/>
      <c r="GT74" s="71"/>
      <c r="GU74" s="71"/>
      <c r="GV74" s="71"/>
      <c r="GW74" s="71"/>
      <c r="GX74" s="71"/>
      <c r="GY74" s="71"/>
      <c r="GZ74" s="71"/>
      <c r="HA74" s="71"/>
      <c r="HB74" s="71"/>
      <c r="HC74" s="71"/>
      <c r="HD74" s="71"/>
      <c r="HM74" s="83">
        <v>336.13440000000003</v>
      </c>
      <c r="HN74" s="73" t="str">
        <f>mehrsprachigkeitBegriffsrückgabe(gewählteSpracheZurückgeben(), "Fixed price")</f>
        <v>Anpassung mit fixem Preis</v>
      </c>
      <c r="HW74" s="83">
        <v>336.13440000000003</v>
      </c>
      <c r="HX74" s="73" t="str">
        <f>mehrsprachigkeitBegriffsrückgabe(gewählteSpracheZurückgeben(), "Fixed price")</f>
        <v>Anpassung mit fixem Preis</v>
      </c>
      <c r="HY74" s="77">
        <v>1</v>
      </c>
      <c r="KT74" s="74">
        <v>0</v>
      </c>
      <c r="KU74" s="73" t="str">
        <f>mehrsprachigkeitBegriffsrückgabe(gewählteSpracheZurückgeben(), "Percent")</f>
        <v>Prozentuale Anpassung</v>
      </c>
      <c r="KX74" s="75">
        <v>0</v>
      </c>
      <c r="LH74" s="72" t="s">
        <v>767</v>
      </c>
      <c r="LI74" s="72" t="s">
        <v>744</v>
      </c>
    </row>
    <row r="75" spans="1:321" ht="15.95" customHeight="1" x14ac:dyDescent="0.25">
      <c r="B75" s="162"/>
      <c r="C75" s="162"/>
      <c r="D75" s="162"/>
      <c r="F75" s="71" t="str">
        <f>mehrsprachigkeitBegriffsrückgabe(gewählteSpracheZurückgeben(), "Variant (foreign language)")</f>
        <v>Variante (Fremdsprache)</v>
      </c>
      <c r="H75" s="72" t="s">
        <v>865</v>
      </c>
      <c r="I75" s="72" t="s">
        <v>94</v>
      </c>
      <c r="BA75" s="147"/>
      <c r="BF75" s="147"/>
      <c r="BG75" s="83"/>
      <c r="BH75" s="73"/>
      <c r="BI75" s="147"/>
      <c r="BJ75" s="77"/>
      <c r="BK75" s="73"/>
      <c r="BL75" s="73"/>
      <c r="BM75" s="77"/>
      <c r="BN75" s="73"/>
      <c r="BO75" s="73"/>
      <c r="BP75" s="147"/>
      <c r="BQ75" s="83"/>
      <c r="BR75" s="73"/>
      <c r="BS75" s="77"/>
      <c r="BT75" s="147"/>
      <c r="BU75" s="77"/>
      <c r="BV75" s="77"/>
      <c r="BW75" s="83"/>
      <c r="BX75" s="73"/>
      <c r="BY75" s="77"/>
      <c r="BZ75" s="73"/>
      <c r="CA75" s="73"/>
      <c r="CB75" s="77"/>
      <c r="CC75" s="73"/>
      <c r="CD75" s="73"/>
      <c r="CE75" s="83"/>
      <c r="CF75" s="73"/>
      <c r="CG75" s="77"/>
      <c r="CH75" s="147"/>
      <c r="CI75" s="77"/>
      <c r="CJ75" s="77"/>
      <c r="CK75" s="83"/>
      <c r="CL75" s="73"/>
      <c r="CM75" s="77"/>
      <c r="CN75" s="73"/>
      <c r="CO75" s="73"/>
      <c r="CP75" s="77"/>
      <c r="CQ75" s="73"/>
      <c r="CR75" s="73"/>
      <c r="CS75" s="83"/>
      <c r="CT75" s="73"/>
      <c r="CU75" s="77"/>
      <c r="CV75" s="147"/>
      <c r="CW75" s="77"/>
      <c r="CX75" s="77"/>
      <c r="CY75" s="83"/>
      <c r="CZ75" s="73"/>
      <c r="DA75" s="77"/>
      <c r="DB75" s="73"/>
      <c r="DC75" s="73"/>
      <c r="DD75" s="77"/>
      <c r="DE75" s="73"/>
      <c r="DF75" s="73"/>
      <c r="DG75" s="83"/>
      <c r="DH75" s="73"/>
      <c r="DI75" s="77"/>
      <c r="DJ75" s="147"/>
      <c r="DK75" s="77"/>
      <c r="DL75" s="77"/>
      <c r="DM75" s="83"/>
      <c r="DN75" s="73"/>
      <c r="DO75" s="77"/>
      <c r="DP75" s="73"/>
      <c r="DQ75" s="73"/>
      <c r="DR75" s="77"/>
      <c r="DS75" s="73"/>
      <c r="DT75" s="73"/>
      <c r="DU75" s="83"/>
      <c r="DV75" s="73"/>
      <c r="DW75" s="77"/>
      <c r="DX75" s="147"/>
      <c r="DY75" s="77"/>
      <c r="DZ75" s="77"/>
      <c r="EA75" s="83"/>
      <c r="EB75" s="73"/>
      <c r="EC75" s="77"/>
      <c r="ED75" s="73"/>
      <c r="EE75" s="73"/>
      <c r="EF75" s="77"/>
      <c r="EG75" s="73"/>
      <c r="EH75" s="73"/>
      <c r="EI75" s="83"/>
      <c r="EJ75" s="73"/>
      <c r="EK75" s="77"/>
      <c r="EL75" s="147"/>
      <c r="EN75" s="74"/>
      <c r="EO75" s="73"/>
      <c r="ER75" s="75"/>
      <c r="ES75" s="76"/>
      <c r="ET75" s="77"/>
      <c r="EU75" s="77"/>
      <c r="EV75" s="78"/>
      <c r="FA75" s="172"/>
      <c r="FB75" s="163"/>
      <c r="FC75" s="172"/>
      <c r="FH75" s="147"/>
      <c r="FL75" s="71"/>
      <c r="FM75" s="71"/>
      <c r="FN75" s="71"/>
      <c r="FO75" s="71"/>
      <c r="FP75" s="71"/>
      <c r="FQ75" s="71"/>
      <c r="FR75" s="71"/>
      <c r="FS75" s="147"/>
      <c r="FW75" s="71"/>
      <c r="FX75" s="71"/>
      <c r="FY75" s="71"/>
      <c r="FZ75" s="71"/>
      <c r="GA75" s="71"/>
      <c r="GB75" s="71"/>
      <c r="GC75" s="71"/>
      <c r="GD75" s="71"/>
      <c r="GE75" s="71"/>
      <c r="GF75" s="71"/>
      <c r="GG75" s="71"/>
      <c r="GH75" s="71"/>
      <c r="GI75" s="71"/>
      <c r="GJ75" s="71"/>
      <c r="GK75" s="71"/>
      <c r="GL75" s="71"/>
      <c r="GM75" s="71"/>
      <c r="GN75" s="71"/>
      <c r="GO75" s="71"/>
      <c r="GP75" s="71"/>
      <c r="GQ75" s="71"/>
      <c r="GR75" s="71"/>
      <c r="GS75" s="71"/>
      <c r="GT75" s="71"/>
      <c r="GU75" s="71"/>
      <c r="GV75" s="71"/>
      <c r="GW75" s="71"/>
      <c r="GX75" s="71"/>
      <c r="GY75" s="71"/>
      <c r="GZ75" s="71"/>
      <c r="HA75" s="71"/>
      <c r="HB75" s="71"/>
      <c r="HC75" s="71"/>
      <c r="HD75" s="71"/>
    </row>
    <row r="76" spans="1:321" ht="15.95" customHeight="1" x14ac:dyDescent="0.25">
      <c r="A76" s="71">
        <v>2560</v>
      </c>
      <c r="B76" s="162"/>
      <c r="C76" s="162"/>
      <c r="D76" s="162">
        <v>1</v>
      </c>
      <c r="F76" s="71" t="str">
        <f>mehrsprachigkeitBegriffsrückgabe(gewählteSpracheZurückgeben(), "Variant")</f>
        <v>Variante</v>
      </c>
      <c r="G76" s="72" t="s">
        <v>867</v>
      </c>
      <c r="H76" s="72" t="s">
        <v>826</v>
      </c>
      <c r="I76" s="72" t="s">
        <v>86</v>
      </c>
      <c r="K76" s="72" t="s">
        <v>868</v>
      </c>
      <c r="M76" s="150" t="s">
        <v>700</v>
      </c>
      <c r="N76" s="72" t="s">
        <v>715</v>
      </c>
      <c r="O76" s="72" t="s">
        <v>699</v>
      </c>
      <c r="P76" s="72" t="s">
        <v>709</v>
      </c>
      <c r="Q76" s="72" t="s">
        <v>702</v>
      </c>
      <c r="R76" s="72" t="s">
        <v>730</v>
      </c>
      <c r="S76" s="72" t="s">
        <v>701</v>
      </c>
      <c r="T76" s="72" t="s">
        <v>725</v>
      </c>
      <c r="BA76" s="147"/>
      <c r="BF76" s="147"/>
      <c r="BG76" s="83"/>
      <c r="BH76" s="73"/>
      <c r="BI76" s="147"/>
      <c r="BJ76" s="77"/>
      <c r="BK76" s="73"/>
      <c r="BL76" s="73"/>
      <c r="BM76" s="77"/>
      <c r="BN76" s="73"/>
      <c r="BO76" s="73"/>
      <c r="BP76" s="147"/>
      <c r="BQ76" s="83"/>
      <c r="BR76" s="73"/>
      <c r="BS76" s="77"/>
      <c r="BT76" s="147"/>
      <c r="BU76" s="77"/>
      <c r="BV76" s="77"/>
      <c r="BW76" s="83"/>
      <c r="BX76" s="73"/>
      <c r="BY76" s="77"/>
      <c r="BZ76" s="73"/>
      <c r="CA76" s="73"/>
      <c r="CB76" s="77"/>
      <c r="CC76" s="73"/>
      <c r="CD76" s="73"/>
      <c r="CE76" s="83"/>
      <c r="CF76" s="73"/>
      <c r="CG76" s="77"/>
      <c r="CH76" s="147"/>
      <c r="CI76" s="77"/>
      <c r="CJ76" s="77"/>
      <c r="CK76" s="83"/>
      <c r="CL76" s="73"/>
      <c r="CM76" s="77"/>
      <c r="CN76" s="73"/>
      <c r="CO76" s="73"/>
      <c r="CP76" s="77"/>
      <c r="CQ76" s="73"/>
      <c r="CR76" s="73"/>
      <c r="CS76" s="83"/>
      <c r="CT76" s="73"/>
      <c r="CU76" s="77"/>
      <c r="CV76" s="147"/>
      <c r="CW76" s="77"/>
      <c r="CX76" s="77"/>
      <c r="CY76" s="83"/>
      <c r="CZ76" s="73"/>
      <c r="DA76" s="77"/>
      <c r="DB76" s="73"/>
      <c r="DC76" s="73"/>
      <c r="DD76" s="77"/>
      <c r="DE76" s="73"/>
      <c r="DF76" s="73"/>
      <c r="DG76" s="83"/>
      <c r="DH76" s="73"/>
      <c r="DI76" s="77"/>
      <c r="DJ76" s="147"/>
      <c r="DK76" s="77"/>
      <c r="DL76" s="77"/>
      <c r="DM76" s="83"/>
      <c r="DN76" s="73"/>
      <c r="DO76" s="77"/>
      <c r="DP76" s="73"/>
      <c r="DQ76" s="73"/>
      <c r="DR76" s="77"/>
      <c r="DS76" s="73"/>
      <c r="DT76" s="73"/>
      <c r="DU76" s="83"/>
      <c r="DV76" s="73"/>
      <c r="DW76" s="77"/>
      <c r="DX76" s="147"/>
      <c r="DY76" s="77"/>
      <c r="DZ76" s="77"/>
      <c r="EA76" s="83"/>
      <c r="EB76" s="73"/>
      <c r="EC76" s="77"/>
      <c r="ED76" s="73"/>
      <c r="EE76" s="73"/>
      <c r="EF76" s="77"/>
      <c r="EG76" s="73"/>
      <c r="EH76" s="73"/>
      <c r="EI76" s="83"/>
      <c r="EJ76" s="73"/>
      <c r="EK76" s="77"/>
      <c r="EL76" s="147"/>
      <c r="EN76" s="74"/>
      <c r="EO76" s="73"/>
      <c r="ER76" s="75"/>
      <c r="ES76" s="76"/>
      <c r="ET76" s="77"/>
      <c r="EU76" s="77"/>
      <c r="EV76" s="78"/>
      <c r="FA76" s="172"/>
      <c r="FB76" s="163"/>
      <c r="FC76" s="172"/>
      <c r="FH76" s="147"/>
      <c r="FL76" s="71"/>
      <c r="FM76" s="71"/>
      <c r="FN76" s="71"/>
      <c r="FO76" s="71"/>
      <c r="FP76" s="71"/>
      <c r="FQ76" s="71"/>
      <c r="FR76" s="71"/>
      <c r="FS76" s="147"/>
      <c r="FW76" s="71"/>
      <c r="FX76" s="71"/>
      <c r="FY76" s="71"/>
      <c r="FZ76" s="71"/>
      <c r="GA76" s="71"/>
      <c r="GB76" s="71"/>
      <c r="GC76" s="71"/>
      <c r="GD76" s="71"/>
      <c r="GE76" s="71"/>
      <c r="GF76" s="71"/>
      <c r="GG76" s="71"/>
      <c r="GH76" s="71"/>
      <c r="GI76" s="71"/>
      <c r="GJ76" s="71"/>
      <c r="GK76" s="71"/>
      <c r="GL76" s="71"/>
      <c r="GM76" s="71"/>
      <c r="GN76" s="71"/>
      <c r="GO76" s="71"/>
      <c r="GP76" s="71"/>
      <c r="GQ76" s="71"/>
      <c r="GR76" s="71"/>
      <c r="GS76" s="71"/>
      <c r="GT76" s="71"/>
      <c r="GU76" s="71"/>
      <c r="GV76" s="71"/>
      <c r="GW76" s="71"/>
      <c r="GX76" s="71"/>
      <c r="GY76" s="71"/>
      <c r="GZ76" s="71"/>
      <c r="HA76" s="71"/>
      <c r="HB76" s="71"/>
      <c r="HC76" s="71"/>
      <c r="HD76" s="71"/>
      <c r="HM76" s="83">
        <v>210.084</v>
      </c>
      <c r="HN76" s="73" t="str">
        <f>mehrsprachigkeitBegriffsrückgabe(gewählteSpracheZurückgeben(), "Fixed price")</f>
        <v>Anpassung mit fixem Preis</v>
      </c>
      <c r="HW76" s="83">
        <v>210.084</v>
      </c>
      <c r="HX76" s="73" t="str">
        <f>mehrsprachigkeitBegriffsrückgabe(gewählteSpracheZurückgeben(), "Fixed price")</f>
        <v>Anpassung mit fixem Preis</v>
      </c>
      <c r="HY76" s="77">
        <v>1</v>
      </c>
      <c r="KT76" s="74">
        <v>0</v>
      </c>
      <c r="KU76" s="73" t="str">
        <f>mehrsprachigkeitBegriffsrückgabe(gewählteSpracheZurückgeben(), "Percent")</f>
        <v>Prozentuale Anpassung</v>
      </c>
      <c r="KX76" s="75">
        <v>0</v>
      </c>
      <c r="LH76" s="72" t="s">
        <v>767</v>
      </c>
      <c r="LI76" s="72" t="s">
        <v>744</v>
      </c>
    </row>
    <row r="77" spans="1:321" ht="15.95" customHeight="1" x14ac:dyDescent="0.25">
      <c r="B77" s="162"/>
      <c r="C77" s="162"/>
      <c r="D77" s="162"/>
      <c r="F77" s="71" t="str">
        <f>mehrsprachigkeitBegriffsrückgabe(gewählteSpracheZurückgeben(), "Variant (foreign language)")</f>
        <v>Variante (Fremdsprache)</v>
      </c>
      <c r="H77" s="72" t="s">
        <v>867</v>
      </c>
      <c r="I77" s="72" t="s">
        <v>94</v>
      </c>
      <c r="BA77" s="147"/>
      <c r="BF77" s="147"/>
      <c r="BG77" s="83"/>
      <c r="BH77" s="73"/>
      <c r="BI77" s="147"/>
      <c r="BJ77" s="77"/>
      <c r="BK77" s="73"/>
      <c r="BL77" s="73"/>
      <c r="BM77" s="77"/>
      <c r="BN77" s="73"/>
      <c r="BO77" s="73"/>
      <c r="BP77" s="147"/>
      <c r="BQ77" s="83"/>
      <c r="BR77" s="73"/>
      <c r="BS77" s="77"/>
      <c r="BT77" s="147"/>
      <c r="BU77" s="77"/>
      <c r="BV77" s="77"/>
      <c r="BW77" s="83"/>
      <c r="BX77" s="73"/>
      <c r="BY77" s="77"/>
      <c r="BZ77" s="73"/>
      <c r="CA77" s="73"/>
      <c r="CB77" s="77"/>
      <c r="CC77" s="73"/>
      <c r="CD77" s="73"/>
      <c r="CE77" s="83"/>
      <c r="CF77" s="73"/>
      <c r="CG77" s="77"/>
      <c r="CH77" s="147"/>
      <c r="CI77" s="77"/>
      <c r="CJ77" s="77"/>
      <c r="CK77" s="83"/>
      <c r="CL77" s="73"/>
      <c r="CM77" s="77"/>
      <c r="CN77" s="73"/>
      <c r="CO77" s="73"/>
      <c r="CP77" s="77"/>
      <c r="CQ77" s="73"/>
      <c r="CR77" s="73"/>
      <c r="CS77" s="83"/>
      <c r="CT77" s="73"/>
      <c r="CU77" s="77"/>
      <c r="CV77" s="147"/>
      <c r="CW77" s="77"/>
      <c r="CX77" s="77"/>
      <c r="CY77" s="83"/>
      <c r="CZ77" s="73"/>
      <c r="DA77" s="77"/>
      <c r="DB77" s="73"/>
      <c r="DC77" s="73"/>
      <c r="DD77" s="77"/>
      <c r="DE77" s="73"/>
      <c r="DF77" s="73"/>
      <c r="DG77" s="83"/>
      <c r="DH77" s="73"/>
      <c r="DI77" s="77"/>
      <c r="DJ77" s="147"/>
      <c r="DK77" s="77"/>
      <c r="DL77" s="77"/>
      <c r="DM77" s="83"/>
      <c r="DN77" s="73"/>
      <c r="DO77" s="77"/>
      <c r="DP77" s="73"/>
      <c r="DQ77" s="73"/>
      <c r="DR77" s="77"/>
      <c r="DS77" s="73"/>
      <c r="DT77" s="73"/>
      <c r="DU77" s="83"/>
      <c r="DV77" s="73"/>
      <c r="DW77" s="77"/>
      <c r="DX77" s="147"/>
      <c r="DY77" s="77"/>
      <c r="DZ77" s="77"/>
      <c r="EA77" s="83"/>
      <c r="EB77" s="73"/>
      <c r="EC77" s="77"/>
      <c r="ED77" s="73"/>
      <c r="EE77" s="73"/>
      <c r="EF77" s="77"/>
      <c r="EG77" s="73"/>
      <c r="EH77" s="73"/>
      <c r="EI77" s="83"/>
      <c r="EJ77" s="73"/>
      <c r="EK77" s="77"/>
      <c r="EL77" s="147"/>
      <c r="EN77" s="74"/>
      <c r="EO77" s="73"/>
      <c r="ER77" s="75"/>
      <c r="ES77" s="76"/>
      <c r="ET77" s="77"/>
      <c r="EU77" s="77"/>
      <c r="EV77" s="78"/>
      <c r="FA77" s="172"/>
      <c r="FB77" s="163"/>
      <c r="FC77" s="172"/>
      <c r="FH77" s="147"/>
      <c r="FL77" s="71"/>
      <c r="FM77" s="71"/>
      <c r="FN77" s="71"/>
      <c r="FO77" s="71"/>
      <c r="FP77" s="71"/>
      <c r="FQ77" s="71"/>
      <c r="FR77" s="71"/>
      <c r="FS77" s="147"/>
      <c r="FW77" s="71"/>
      <c r="FX77" s="71"/>
      <c r="FY77" s="71"/>
      <c r="FZ77" s="71"/>
      <c r="GA77" s="71"/>
      <c r="GB77" s="71"/>
      <c r="GC77" s="71"/>
      <c r="GD77" s="71"/>
      <c r="GE77" s="71"/>
      <c r="GF77" s="71"/>
      <c r="GG77" s="71"/>
      <c r="GH77" s="71"/>
      <c r="GI77" s="71"/>
      <c r="GJ77" s="71"/>
      <c r="GK77" s="71"/>
      <c r="GL77" s="71"/>
      <c r="GM77" s="71"/>
      <c r="GN77" s="71"/>
      <c r="GO77" s="71"/>
      <c r="GP77" s="71"/>
      <c r="GQ77" s="71"/>
      <c r="GR77" s="71"/>
      <c r="GS77" s="71"/>
      <c r="GT77" s="71"/>
      <c r="GU77" s="71"/>
      <c r="GV77" s="71"/>
      <c r="GW77" s="71"/>
      <c r="GX77" s="71"/>
      <c r="GY77" s="71"/>
      <c r="GZ77" s="71"/>
      <c r="HA77" s="71"/>
      <c r="HB77" s="71"/>
      <c r="HC77" s="71"/>
      <c r="HD77" s="71"/>
    </row>
    <row r="78" spans="1:321" ht="15.95" customHeight="1" x14ac:dyDescent="0.25">
      <c r="A78" s="71">
        <v>2688</v>
      </c>
      <c r="B78" s="162"/>
      <c r="C78" s="162"/>
      <c r="D78" s="162">
        <v>1</v>
      </c>
      <c r="F78" s="71" t="str">
        <f>mehrsprachigkeitBegriffsrückgabe(gewählteSpracheZurückgeben(), "Variant")</f>
        <v>Variante</v>
      </c>
      <c r="G78" s="72" t="s">
        <v>869</v>
      </c>
      <c r="H78" s="72" t="s">
        <v>826</v>
      </c>
      <c r="I78" s="72" t="s">
        <v>86</v>
      </c>
      <c r="J78" s="72" t="s">
        <v>870</v>
      </c>
      <c r="K78" s="72" t="s">
        <v>871</v>
      </c>
      <c r="M78" s="150" t="s">
        <v>700</v>
      </c>
      <c r="N78" s="72" t="s">
        <v>715</v>
      </c>
      <c r="O78" s="72" t="s">
        <v>699</v>
      </c>
      <c r="P78" s="72" t="s">
        <v>709</v>
      </c>
      <c r="Q78" s="72" t="s">
        <v>702</v>
      </c>
      <c r="R78" s="72" t="s">
        <v>731</v>
      </c>
      <c r="S78" s="72" t="s">
        <v>701</v>
      </c>
      <c r="T78" s="72" t="s">
        <v>725</v>
      </c>
      <c r="BA78" s="147"/>
      <c r="BF78" s="147"/>
      <c r="BG78" s="83"/>
      <c r="BH78" s="73"/>
      <c r="BI78" s="147"/>
      <c r="BJ78" s="77"/>
      <c r="BK78" s="73"/>
      <c r="BL78" s="73"/>
      <c r="BM78" s="77"/>
      <c r="BN78" s="73"/>
      <c r="BO78" s="73"/>
      <c r="BP78" s="147"/>
      <c r="BQ78" s="83"/>
      <c r="BR78" s="73"/>
      <c r="BS78" s="77"/>
      <c r="BT78" s="147"/>
      <c r="BU78" s="77"/>
      <c r="BV78" s="77"/>
      <c r="BW78" s="83"/>
      <c r="BX78" s="73"/>
      <c r="BY78" s="77"/>
      <c r="BZ78" s="73"/>
      <c r="CA78" s="73"/>
      <c r="CB78" s="77"/>
      <c r="CC78" s="73"/>
      <c r="CD78" s="73"/>
      <c r="CE78" s="83"/>
      <c r="CF78" s="73"/>
      <c r="CG78" s="77"/>
      <c r="CH78" s="147"/>
      <c r="CI78" s="77"/>
      <c r="CJ78" s="77"/>
      <c r="CK78" s="83"/>
      <c r="CL78" s="73"/>
      <c r="CM78" s="77"/>
      <c r="CN78" s="73"/>
      <c r="CO78" s="73"/>
      <c r="CP78" s="77"/>
      <c r="CQ78" s="73"/>
      <c r="CR78" s="73"/>
      <c r="CS78" s="83"/>
      <c r="CT78" s="73"/>
      <c r="CU78" s="77"/>
      <c r="CV78" s="147"/>
      <c r="CW78" s="77"/>
      <c r="CX78" s="77"/>
      <c r="CY78" s="83"/>
      <c r="CZ78" s="73"/>
      <c r="DA78" s="77"/>
      <c r="DB78" s="73"/>
      <c r="DC78" s="73"/>
      <c r="DD78" s="77"/>
      <c r="DE78" s="73"/>
      <c r="DF78" s="73"/>
      <c r="DG78" s="83"/>
      <c r="DH78" s="73"/>
      <c r="DI78" s="77"/>
      <c r="DJ78" s="147"/>
      <c r="DK78" s="77"/>
      <c r="DL78" s="77"/>
      <c r="DM78" s="83"/>
      <c r="DN78" s="73"/>
      <c r="DO78" s="77"/>
      <c r="DP78" s="73"/>
      <c r="DQ78" s="73"/>
      <c r="DR78" s="77"/>
      <c r="DS78" s="73"/>
      <c r="DT78" s="73"/>
      <c r="DU78" s="83"/>
      <c r="DV78" s="73"/>
      <c r="DW78" s="77"/>
      <c r="DX78" s="147"/>
      <c r="DY78" s="77"/>
      <c r="DZ78" s="77"/>
      <c r="EA78" s="83"/>
      <c r="EB78" s="73"/>
      <c r="EC78" s="77"/>
      <c r="ED78" s="73"/>
      <c r="EE78" s="73"/>
      <c r="EF78" s="77"/>
      <c r="EG78" s="73"/>
      <c r="EH78" s="73"/>
      <c r="EI78" s="83"/>
      <c r="EJ78" s="73"/>
      <c r="EK78" s="77"/>
      <c r="EL78" s="147"/>
      <c r="EN78" s="74"/>
      <c r="EO78" s="73"/>
      <c r="ER78" s="75"/>
      <c r="ES78" s="76"/>
      <c r="ET78" s="77"/>
      <c r="EU78" s="77"/>
      <c r="EV78" s="78"/>
      <c r="FA78" s="172"/>
      <c r="FB78" s="163"/>
      <c r="FC78" s="172"/>
      <c r="FH78" s="147"/>
      <c r="FL78" s="71"/>
      <c r="FM78" s="71"/>
      <c r="FN78" s="71"/>
      <c r="FO78" s="71"/>
      <c r="FP78" s="71"/>
      <c r="FQ78" s="71"/>
      <c r="FR78" s="71"/>
      <c r="FS78" s="147"/>
      <c r="FW78" s="71"/>
      <c r="FX78" s="71"/>
      <c r="FY78" s="71"/>
      <c r="FZ78" s="71"/>
      <c r="GA78" s="71"/>
      <c r="GB78" s="71"/>
      <c r="GC78" s="71"/>
      <c r="GD78" s="71"/>
      <c r="GE78" s="71"/>
      <c r="GF78" s="71"/>
      <c r="GG78" s="71"/>
      <c r="GH78" s="71"/>
      <c r="GI78" s="71"/>
      <c r="GJ78" s="71"/>
      <c r="GK78" s="71"/>
      <c r="GL78" s="71"/>
      <c r="GM78" s="71"/>
      <c r="GN78" s="71"/>
      <c r="GO78" s="71"/>
      <c r="GP78" s="71"/>
      <c r="GQ78" s="71"/>
      <c r="GR78" s="71"/>
      <c r="GS78" s="71"/>
      <c r="GT78" s="71"/>
      <c r="GU78" s="71"/>
      <c r="GV78" s="71"/>
      <c r="GW78" s="71"/>
      <c r="GX78" s="71"/>
      <c r="GY78" s="71"/>
      <c r="GZ78" s="71"/>
      <c r="HA78" s="71"/>
      <c r="HB78" s="71"/>
      <c r="HC78" s="71"/>
      <c r="HD78" s="71"/>
      <c r="HM78" s="83">
        <v>588.23519999999996</v>
      </c>
      <c r="HN78" s="73" t="str">
        <f>mehrsprachigkeitBegriffsrückgabe(gewählteSpracheZurückgeben(), "Fixed price")</f>
        <v>Anpassung mit fixem Preis</v>
      </c>
      <c r="HW78" s="83">
        <v>588.23519999999996</v>
      </c>
      <c r="HX78" s="73" t="str">
        <f>mehrsprachigkeitBegriffsrückgabe(gewählteSpracheZurückgeben(), "Fixed price")</f>
        <v>Anpassung mit fixem Preis</v>
      </c>
      <c r="HY78" s="77">
        <v>1</v>
      </c>
      <c r="KT78" s="74">
        <v>0</v>
      </c>
      <c r="KU78" s="73" t="str">
        <f>mehrsprachigkeitBegriffsrückgabe(gewählteSpracheZurückgeben(), "Percent")</f>
        <v>Prozentuale Anpassung</v>
      </c>
      <c r="KX78" s="75">
        <v>0</v>
      </c>
      <c r="LH78" s="72" t="s">
        <v>767</v>
      </c>
      <c r="LI78" s="72" t="s">
        <v>744</v>
      </c>
    </row>
    <row r="79" spans="1:321" ht="15.95" customHeight="1" x14ac:dyDescent="0.25">
      <c r="B79" s="162"/>
      <c r="C79" s="162"/>
      <c r="D79" s="162"/>
      <c r="F79" s="71" t="str">
        <f>mehrsprachigkeitBegriffsrückgabe(gewählteSpracheZurückgeben(), "Variant (foreign language)")</f>
        <v>Variante (Fremdsprache)</v>
      </c>
      <c r="H79" s="72" t="s">
        <v>869</v>
      </c>
      <c r="I79" s="72" t="s">
        <v>94</v>
      </c>
      <c r="BA79" s="147"/>
      <c r="BF79" s="147"/>
      <c r="BG79" s="83"/>
      <c r="BH79" s="73"/>
      <c r="BI79" s="147"/>
      <c r="BJ79" s="77"/>
      <c r="BK79" s="73"/>
      <c r="BL79" s="73"/>
      <c r="BM79" s="77"/>
      <c r="BN79" s="73"/>
      <c r="BO79" s="73"/>
      <c r="BP79" s="147"/>
      <c r="BQ79" s="83"/>
      <c r="BR79" s="73"/>
      <c r="BS79" s="77"/>
      <c r="BT79" s="147"/>
      <c r="BU79" s="77"/>
      <c r="BV79" s="77"/>
      <c r="BW79" s="83"/>
      <c r="BX79" s="73"/>
      <c r="BY79" s="77"/>
      <c r="BZ79" s="73"/>
      <c r="CA79" s="73"/>
      <c r="CB79" s="77"/>
      <c r="CC79" s="73"/>
      <c r="CD79" s="73"/>
      <c r="CE79" s="83"/>
      <c r="CF79" s="73"/>
      <c r="CG79" s="77"/>
      <c r="CH79" s="147"/>
      <c r="CI79" s="77"/>
      <c r="CJ79" s="77"/>
      <c r="CK79" s="83"/>
      <c r="CL79" s="73"/>
      <c r="CM79" s="77"/>
      <c r="CN79" s="73"/>
      <c r="CO79" s="73"/>
      <c r="CP79" s="77"/>
      <c r="CQ79" s="73"/>
      <c r="CR79" s="73"/>
      <c r="CS79" s="83"/>
      <c r="CT79" s="73"/>
      <c r="CU79" s="77"/>
      <c r="CV79" s="147"/>
      <c r="CW79" s="77"/>
      <c r="CX79" s="77"/>
      <c r="CY79" s="83"/>
      <c r="CZ79" s="73"/>
      <c r="DA79" s="77"/>
      <c r="DB79" s="73"/>
      <c r="DC79" s="73"/>
      <c r="DD79" s="77"/>
      <c r="DE79" s="73"/>
      <c r="DF79" s="73"/>
      <c r="DG79" s="83"/>
      <c r="DH79" s="73"/>
      <c r="DI79" s="77"/>
      <c r="DJ79" s="147"/>
      <c r="DK79" s="77"/>
      <c r="DL79" s="77"/>
      <c r="DM79" s="83"/>
      <c r="DN79" s="73"/>
      <c r="DO79" s="77"/>
      <c r="DP79" s="73"/>
      <c r="DQ79" s="73"/>
      <c r="DR79" s="77"/>
      <c r="DS79" s="73"/>
      <c r="DT79" s="73"/>
      <c r="DU79" s="83"/>
      <c r="DV79" s="73"/>
      <c r="DW79" s="77"/>
      <c r="DX79" s="147"/>
      <c r="DY79" s="77"/>
      <c r="DZ79" s="77"/>
      <c r="EA79" s="83"/>
      <c r="EB79" s="73"/>
      <c r="EC79" s="77"/>
      <c r="ED79" s="73"/>
      <c r="EE79" s="73"/>
      <c r="EF79" s="77"/>
      <c r="EG79" s="73"/>
      <c r="EH79" s="73"/>
      <c r="EI79" s="83"/>
      <c r="EJ79" s="73"/>
      <c r="EK79" s="77"/>
      <c r="EL79" s="147"/>
      <c r="EN79" s="74"/>
      <c r="EO79" s="73"/>
      <c r="ER79" s="75"/>
      <c r="ES79" s="76"/>
      <c r="ET79" s="77"/>
      <c r="EU79" s="77"/>
      <c r="EV79" s="78"/>
      <c r="FA79" s="172"/>
      <c r="FB79" s="163"/>
      <c r="FC79" s="172"/>
      <c r="FH79" s="147"/>
      <c r="FL79" s="71"/>
      <c r="FM79" s="71"/>
      <c r="FN79" s="71"/>
      <c r="FO79" s="71"/>
      <c r="FP79" s="71"/>
      <c r="FQ79" s="71"/>
      <c r="FR79" s="71"/>
      <c r="FS79" s="147"/>
      <c r="FW79" s="71"/>
      <c r="FX79" s="71"/>
      <c r="FY79" s="71"/>
      <c r="FZ79" s="71"/>
      <c r="GA79" s="71"/>
      <c r="GB79" s="71"/>
      <c r="GC79" s="71"/>
      <c r="GD79" s="71"/>
      <c r="GE79" s="71"/>
      <c r="GF79" s="71"/>
      <c r="GG79" s="71"/>
      <c r="GH79" s="71"/>
      <c r="GI79" s="71"/>
      <c r="GJ79" s="71"/>
      <c r="GK79" s="71"/>
      <c r="GL79" s="71"/>
      <c r="GM79" s="71"/>
      <c r="GN79" s="71"/>
      <c r="GO79" s="71"/>
      <c r="GP79" s="71"/>
      <c r="GQ79" s="71"/>
      <c r="GR79" s="71"/>
      <c r="GS79" s="71"/>
      <c r="GT79" s="71"/>
      <c r="GU79" s="71"/>
      <c r="GV79" s="71"/>
      <c r="GW79" s="71"/>
      <c r="GX79" s="71"/>
      <c r="GY79" s="71"/>
      <c r="GZ79" s="71"/>
      <c r="HA79" s="71"/>
      <c r="HB79" s="71"/>
      <c r="HC79" s="71"/>
      <c r="HD79" s="71"/>
    </row>
    <row r="80" spans="1:321" ht="15.95" customHeight="1" x14ac:dyDescent="0.25">
      <c r="A80" s="71">
        <v>2816</v>
      </c>
      <c r="B80" s="162"/>
      <c r="C80" s="162"/>
      <c r="D80" s="162">
        <v>1</v>
      </c>
      <c r="F80" s="71" t="str">
        <f>mehrsprachigkeitBegriffsrückgabe(gewählteSpracheZurückgeben(), "Variant")</f>
        <v>Variante</v>
      </c>
      <c r="G80" s="72" t="s">
        <v>872</v>
      </c>
      <c r="H80" s="72" t="s">
        <v>826</v>
      </c>
      <c r="I80" s="72" t="s">
        <v>86</v>
      </c>
      <c r="K80" s="72" t="s">
        <v>873</v>
      </c>
      <c r="M80" s="150" t="s">
        <v>700</v>
      </c>
      <c r="N80" s="72" t="s">
        <v>720</v>
      </c>
      <c r="O80" s="72" t="s">
        <v>699</v>
      </c>
      <c r="P80" s="72" t="s">
        <v>712</v>
      </c>
      <c r="Q80" s="72" t="s">
        <v>702</v>
      </c>
      <c r="R80" s="72" t="s">
        <v>730</v>
      </c>
      <c r="S80" s="72" t="s">
        <v>701</v>
      </c>
      <c r="T80" s="72" t="s">
        <v>722</v>
      </c>
      <c r="BA80" s="147"/>
      <c r="BF80" s="147"/>
      <c r="BG80" s="83"/>
      <c r="BH80" s="73"/>
      <c r="BI80" s="147"/>
      <c r="BJ80" s="77"/>
      <c r="BK80" s="73"/>
      <c r="BL80" s="73"/>
      <c r="BM80" s="77"/>
      <c r="BN80" s="73"/>
      <c r="BO80" s="73"/>
      <c r="BP80" s="147"/>
      <c r="BQ80" s="83"/>
      <c r="BR80" s="73"/>
      <c r="BS80" s="77"/>
      <c r="BT80" s="147"/>
      <c r="BU80" s="77"/>
      <c r="BV80" s="77"/>
      <c r="BW80" s="83"/>
      <c r="BX80" s="73"/>
      <c r="BY80" s="77"/>
      <c r="BZ80" s="73"/>
      <c r="CA80" s="73"/>
      <c r="CB80" s="77"/>
      <c r="CC80" s="73"/>
      <c r="CD80" s="73"/>
      <c r="CE80" s="83"/>
      <c r="CF80" s="73"/>
      <c r="CG80" s="77"/>
      <c r="CH80" s="147"/>
      <c r="CI80" s="77"/>
      <c r="CJ80" s="77"/>
      <c r="CK80" s="83"/>
      <c r="CL80" s="73"/>
      <c r="CM80" s="77"/>
      <c r="CN80" s="73"/>
      <c r="CO80" s="73"/>
      <c r="CP80" s="77"/>
      <c r="CQ80" s="73"/>
      <c r="CR80" s="73"/>
      <c r="CS80" s="83"/>
      <c r="CT80" s="73"/>
      <c r="CU80" s="77"/>
      <c r="CV80" s="147"/>
      <c r="CW80" s="77"/>
      <c r="CX80" s="77"/>
      <c r="CY80" s="83"/>
      <c r="CZ80" s="73"/>
      <c r="DA80" s="77"/>
      <c r="DB80" s="73"/>
      <c r="DC80" s="73"/>
      <c r="DD80" s="77"/>
      <c r="DE80" s="73"/>
      <c r="DF80" s="73"/>
      <c r="DG80" s="83"/>
      <c r="DH80" s="73"/>
      <c r="DI80" s="77"/>
      <c r="DJ80" s="147"/>
      <c r="DK80" s="77"/>
      <c r="DL80" s="77"/>
      <c r="DM80" s="83"/>
      <c r="DN80" s="73"/>
      <c r="DO80" s="77"/>
      <c r="DP80" s="73"/>
      <c r="DQ80" s="73"/>
      <c r="DR80" s="77"/>
      <c r="DS80" s="73"/>
      <c r="DT80" s="73"/>
      <c r="DU80" s="83"/>
      <c r="DV80" s="73"/>
      <c r="DW80" s="77"/>
      <c r="DX80" s="147"/>
      <c r="DY80" s="77"/>
      <c r="DZ80" s="77"/>
      <c r="EA80" s="83"/>
      <c r="EB80" s="73"/>
      <c r="EC80" s="77"/>
      <c r="ED80" s="73"/>
      <c r="EE80" s="73"/>
      <c r="EF80" s="77"/>
      <c r="EG80" s="73"/>
      <c r="EH80" s="73"/>
      <c r="EI80" s="83"/>
      <c r="EJ80" s="73"/>
      <c r="EK80" s="77"/>
      <c r="EL80" s="147"/>
      <c r="EN80" s="74"/>
      <c r="EO80" s="73"/>
      <c r="ER80" s="75"/>
      <c r="ES80" s="76"/>
      <c r="ET80" s="77"/>
      <c r="EU80" s="77"/>
      <c r="EV80" s="78"/>
      <c r="FA80" s="172"/>
      <c r="FB80" s="163"/>
      <c r="FC80" s="172"/>
      <c r="FH80" s="147"/>
      <c r="FL80" s="71"/>
      <c r="FM80" s="71"/>
      <c r="FN80" s="71"/>
      <c r="FO80" s="71"/>
      <c r="FP80" s="71"/>
      <c r="FQ80" s="71"/>
      <c r="FR80" s="71"/>
      <c r="FS80" s="147"/>
      <c r="FW80" s="71"/>
      <c r="FX80" s="71"/>
      <c r="FY80" s="71"/>
      <c r="FZ80" s="71"/>
      <c r="GA80" s="71"/>
      <c r="GB80" s="71"/>
      <c r="GC80" s="71"/>
      <c r="GD80" s="71"/>
      <c r="GE80" s="71"/>
      <c r="GF80" s="71"/>
      <c r="GG80" s="71"/>
      <c r="GH80" s="71"/>
      <c r="GI80" s="71"/>
      <c r="GJ80" s="71"/>
      <c r="GK80" s="71"/>
      <c r="GL80" s="71"/>
      <c r="GM80" s="71"/>
      <c r="GN80" s="71"/>
      <c r="GO80" s="71"/>
      <c r="GP80" s="71"/>
      <c r="GQ80" s="71"/>
      <c r="GR80" s="71"/>
      <c r="GS80" s="71"/>
      <c r="GT80" s="71"/>
      <c r="GU80" s="71"/>
      <c r="GV80" s="71"/>
      <c r="GW80" s="71"/>
      <c r="GX80" s="71"/>
      <c r="GY80" s="71"/>
      <c r="GZ80" s="71"/>
      <c r="HA80" s="71"/>
      <c r="HB80" s="71"/>
      <c r="HC80" s="71"/>
      <c r="HD80" s="71"/>
      <c r="HM80" s="83">
        <v>84.033600000000007</v>
      </c>
      <c r="HN80" s="73" t="str">
        <f>mehrsprachigkeitBegriffsrückgabe(gewählteSpracheZurückgeben(), "Fixed price")</f>
        <v>Anpassung mit fixem Preis</v>
      </c>
      <c r="HW80" s="83">
        <v>84.033600000000007</v>
      </c>
      <c r="HX80" s="73" t="str">
        <f>mehrsprachigkeitBegriffsrückgabe(gewählteSpracheZurückgeben(), "Fixed price")</f>
        <v>Anpassung mit fixem Preis</v>
      </c>
      <c r="HY80" s="77">
        <v>1</v>
      </c>
      <c r="KT80" s="74">
        <v>0</v>
      </c>
      <c r="KU80" s="73" t="str">
        <f>mehrsprachigkeitBegriffsrückgabe(gewählteSpracheZurückgeben(), "Percent")</f>
        <v>Prozentuale Anpassung</v>
      </c>
      <c r="KX80" s="75">
        <v>0</v>
      </c>
      <c r="LH80" s="72" t="s">
        <v>767</v>
      </c>
      <c r="LI80" s="72" t="s">
        <v>744</v>
      </c>
    </row>
    <row r="81" spans="1:321" ht="15.95" customHeight="1" x14ac:dyDescent="0.25">
      <c r="B81" s="162"/>
      <c r="C81" s="162"/>
      <c r="D81" s="162"/>
      <c r="F81" s="71" t="str">
        <f>mehrsprachigkeitBegriffsrückgabe(gewählteSpracheZurückgeben(), "Variant (foreign language)")</f>
        <v>Variante (Fremdsprache)</v>
      </c>
      <c r="H81" s="72" t="s">
        <v>872</v>
      </c>
      <c r="I81" s="72" t="s">
        <v>94</v>
      </c>
      <c r="BA81" s="147"/>
      <c r="BF81" s="147"/>
      <c r="BG81" s="83"/>
      <c r="BH81" s="73"/>
      <c r="BI81" s="147"/>
      <c r="BJ81" s="77"/>
      <c r="BK81" s="73"/>
      <c r="BL81" s="73"/>
      <c r="BM81" s="77"/>
      <c r="BN81" s="73"/>
      <c r="BO81" s="73"/>
      <c r="BP81" s="147"/>
      <c r="BQ81" s="83"/>
      <c r="BR81" s="73"/>
      <c r="BS81" s="77"/>
      <c r="BT81" s="147"/>
      <c r="BU81" s="77"/>
      <c r="BV81" s="77"/>
      <c r="BW81" s="83"/>
      <c r="BX81" s="73"/>
      <c r="BY81" s="77"/>
      <c r="BZ81" s="73"/>
      <c r="CA81" s="73"/>
      <c r="CB81" s="77"/>
      <c r="CC81" s="73"/>
      <c r="CD81" s="73"/>
      <c r="CE81" s="83"/>
      <c r="CF81" s="73"/>
      <c r="CG81" s="77"/>
      <c r="CH81" s="147"/>
      <c r="CI81" s="77"/>
      <c r="CJ81" s="77"/>
      <c r="CK81" s="83"/>
      <c r="CL81" s="73"/>
      <c r="CM81" s="77"/>
      <c r="CN81" s="73"/>
      <c r="CO81" s="73"/>
      <c r="CP81" s="77"/>
      <c r="CQ81" s="73"/>
      <c r="CR81" s="73"/>
      <c r="CS81" s="83"/>
      <c r="CT81" s="73"/>
      <c r="CU81" s="77"/>
      <c r="CV81" s="147"/>
      <c r="CW81" s="77"/>
      <c r="CX81" s="77"/>
      <c r="CY81" s="83"/>
      <c r="CZ81" s="73"/>
      <c r="DA81" s="77"/>
      <c r="DB81" s="73"/>
      <c r="DC81" s="73"/>
      <c r="DD81" s="77"/>
      <c r="DE81" s="73"/>
      <c r="DF81" s="73"/>
      <c r="DG81" s="83"/>
      <c r="DH81" s="73"/>
      <c r="DI81" s="77"/>
      <c r="DJ81" s="147"/>
      <c r="DK81" s="77"/>
      <c r="DL81" s="77"/>
      <c r="DM81" s="83"/>
      <c r="DN81" s="73"/>
      <c r="DO81" s="77"/>
      <c r="DP81" s="73"/>
      <c r="DQ81" s="73"/>
      <c r="DR81" s="77"/>
      <c r="DS81" s="73"/>
      <c r="DT81" s="73"/>
      <c r="DU81" s="83"/>
      <c r="DV81" s="73"/>
      <c r="DW81" s="77"/>
      <c r="DX81" s="147"/>
      <c r="DY81" s="77"/>
      <c r="DZ81" s="77"/>
      <c r="EA81" s="83"/>
      <c r="EB81" s="73"/>
      <c r="EC81" s="77"/>
      <c r="ED81" s="73"/>
      <c r="EE81" s="73"/>
      <c r="EF81" s="77"/>
      <c r="EG81" s="73"/>
      <c r="EH81" s="73"/>
      <c r="EI81" s="83"/>
      <c r="EJ81" s="73"/>
      <c r="EK81" s="77"/>
      <c r="EL81" s="147"/>
      <c r="EN81" s="74"/>
      <c r="EO81" s="73"/>
      <c r="ER81" s="75"/>
      <c r="ES81" s="76"/>
      <c r="ET81" s="77"/>
      <c r="EU81" s="77"/>
      <c r="EV81" s="78"/>
      <c r="FA81" s="172"/>
      <c r="FB81" s="163"/>
      <c r="FC81" s="172"/>
      <c r="FH81" s="147"/>
      <c r="FL81" s="71"/>
      <c r="FM81" s="71"/>
      <c r="FN81" s="71"/>
      <c r="FO81" s="71"/>
      <c r="FP81" s="71"/>
      <c r="FQ81" s="71"/>
      <c r="FR81" s="71"/>
      <c r="FS81" s="147"/>
      <c r="FW81" s="71"/>
      <c r="FX81" s="71"/>
      <c r="FY81" s="71"/>
      <c r="FZ81" s="71"/>
      <c r="GA81" s="71"/>
      <c r="GB81" s="71"/>
      <c r="GC81" s="71"/>
      <c r="GD81" s="71"/>
      <c r="GE81" s="71"/>
      <c r="GF81" s="71"/>
      <c r="GG81" s="71"/>
      <c r="GH81" s="71"/>
      <c r="GI81" s="71"/>
      <c r="GJ81" s="71"/>
      <c r="GK81" s="71"/>
      <c r="GL81" s="71"/>
      <c r="GM81" s="71"/>
      <c r="GN81" s="71"/>
      <c r="GO81" s="71"/>
      <c r="GP81" s="71"/>
      <c r="GQ81" s="71"/>
      <c r="GR81" s="71"/>
      <c r="GS81" s="71"/>
      <c r="GT81" s="71"/>
      <c r="GU81" s="71"/>
      <c r="GV81" s="71"/>
      <c r="GW81" s="71"/>
      <c r="GX81" s="71"/>
      <c r="GY81" s="71"/>
      <c r="GZ81" s="71"/>
      <c r="HA81" s="71"/>
      <c r="HB81" s="71"/>
      <c r="HC81" s="71"/>
      <c r="HD81" s="71"/>
    </row>
    <row r="82" spans="1:321" ht="15.95" customHeight="1" x14ac:dyDescent="0.25">
      <c r="A82" s="71">
        <v>2944</v>
      </c>
      <c r="B82" s="162"/>
      <c r="C82" s="162"/>
      <c r="D82" s="162">
        <v>1</v>
      </c>
      <c r="F82" s="71" t="str">
        <f>mehrsprachigkeitBegriffsrückgabe(gewählteSpracheZurückgeben(), "Variant")</f>
        <v>Variante</v>
      </c>
      <c r="G82" s="72" t="s">
        <v>874</v>
      </c>
      <c r="H82" s="72" t="s">
        <v>826</v>
      </c>
      <c r="I82" s="72" t="s">
        <v>86</v>
      </c>
      <c r="K82" s="72" t="s">
        <v>875</v>
      </c>
      <c r="M82" s="150" t="s">
        <v>700</v>
      </c>
      <c r="N82" s="72" t="s">
        <v>718</v>
      </c>
      <c r="O82" s="72" t="s">
        <v>699</v>
      </c>
      <c r="P82" s="72" t="s">
        <v>524</v>
      </c>
      <c r="Q82" s="72" t="s">
        <v>702</v>
      </c>
      <c r="R82" s="72" t="s">
        <v>730</v>
      </c>
      <c r="S82" s="72" t="s">
        <v>701</v>
      </c>
      <c r="T82" s="72" t="s">
        <v>721</v>
      </c>
      <c r="BA82" s="147"/>
      <c r="BF82" s="147"/>
      <c r="BG82" s="83"/>
      <c r="BH82" s="73"/>
      <c r="BI82" s="147"/>
      <c r="BJ82" s="77"/>
      <c r="BK82" s="73"/>
      <c r="BL82" s="73"/>
      <c r="BM82" s="77"/>
      <c r="BN82" s="73"/>
      <c r="BO82" s="73"/>
      <c r="BP82" s="147"/>
      <c r="BQ82" s="83"/>
      <c r="BR82" s="73"/>
      <c r="BS82" s="77"/>
      <c r="BT82" s="147"/>
      <c r="BU82" s="77"/>
      <c r="BV82" s="77"/>
      <c r="BW82" s="83"/>
      <c r="BX82" s="73"/>
      <c r="BY82" s="77"/>
      <c r="BZ82" s="73"/>
      <c r="CA82" s="73"/>
      <c r="CB82" s="77"/>
      <c r="CC82" s="73"/>
      <c r="CD82" s="73"/>
      <c r="CE82" s="83"/>
      <c r="CF82" s="73"/>
      <c r="CG82" s="77"/>
      <c r="CH82" s="147"/>
      <c r="CI82" s="77"/>
      <c r="CJ82" s="77"/>
      <c r="CK82" s="83"/>
      <c r="CL82" s="73"/>
      <c r="CM82" s="77"/>
      <c r="CN82" s="73"/>
      <c r="CO82" s="73"/>
      <c r="CP82" s="77"/>
      <c r="CQ82" s="73"/>
      <c r="CR82" s="73"/>
      <c r="CS82" s="83"/>
      <c r="CT82" s="73"/>
      <c r="CU82" s="77"/>
      <c r="CV82" s="147"/>
      <c r="CW82" s="77"/>
      <c r="CX82" s="77"/>
      <c r="CY82" s="83"/>
      <c r="CZ82" s="73"/>
      <c r="DA82" s="77"/>
      <c r="DB82" s="73"/>
      <c r="DC82" s="73"/>
      <c r="DD82" s="77"/>
      <c r="DE82" s="73"/>
      <c r="DF82" s="73"/>
      <c r="DG82" s="83"/>
      <c r="DH82" s="73"/>
      <c r="DI82" s="77"/>
      <c r="DJ82" s="147"/>
      <c r="DK82" s="77"/>
      <c r="DL82" s="77"/>
      <c r="DM82" s="83"/>
      <c r="DN82" s="73"/>
      <c r="DO82" s="77"/>
      <c r="DP82" s="73"/>
      <c r="DQ82" s="73"/>
      <c r="DR82" s="77"/>
      <c r="DS82" s="73"/>
      <c r="DT82" s="73"/>
      <c r="DU82" s="83"/>
      <c r="DV82" s="73"/>
      <c r="DW82" s="77"/>
      <c r="DX82" s="147"/>
      <c r="DY82" s="77"/>
      <c r="DZ82" s="77"/>
      <c r="EA82" s="83"/>
      <c r="EB82" s="73"/>
      <c r="EC82" s="77"/>
      <c r="ED82" s="73"/>
      <c r="EE82" s="73"/>
      <c r="EF82" s="77"/>
      <c r="EG82" s="73"/>
      <c r="EH82" s="73"/>
      <c r="EI82" s="83"/>
      <c r="EJ82" s="73"/>
      <c r="EK82" s="77"/>
      <c r="EL82" s="147"/>
      <c r="EN82" s="74"/>
      <c r="EO82" s="73"/>
      <c r="ER82" s="75"/>
      <c r="ES82" s="76"/>
      <c r="ET82" s="77"/>
      <c r="EU82" s="77"/>
      <c r="EV82" s="78"/>
      <c r="FA82" s="172"/>
      <c r="FB82" s="163"/>
      <c r="FC82" s="172"/>
      <c r="FH82" s="147"/>
      <c r="FL82" s="71"/>
      <c r="FM82" s="71"/>
      <c r="FN82" s="71"/>
      <c r="FO82" s="71"/>
      <c r="FP82" s="71"/>
      <c r="FQ82" s="71"/>
      <c r="FR82" s="71"/>
      <c r="FS82" s="147"/>
      <c r="FW82" s="71"/>
      <c r="FX82" s="71"/>
      <c r="FY82" s="71"/>
      <c r="FZ82" s="71"/>
      <c r="GA82" s="71"/>
      <c r="GB82" s="71"/>
      <c r="GC82" s="71"/>
      <c r="GD82" s="71"/>
      <c r="GE82" s="71"/>
      <c r="GF82" s="71"/>
      <c r="GG82" s="71"/>
      <c r="GH82" s="71"/>
      <c r="GI82" s="71"/>
      <c r="GJ82" s="71"/>
      <c r="GK82" s="71"/>
      <c r="GL82" s="71"/>
      <c r="GM82" s="71"/>
      <c r="GN82" s="71"/>
      <c r="GO82" s="71"/>
      <c r="GP82" s="71"/>
      <c r="GQ82" s="71"/>
      <c r="GR82" s="71"/>
      <c r="GS82" s="71"/>
      <c r="GT82" s="71"/>
      <c r="GU82" s="71"/>
      <c r="GV82" s="71"/>
      <c r="GW82" s="71"/>
      <c r="GX82" s="71"/>
      <c r="GY82" s="71"/>
      <c r="GZ82" s="71"/>
      <c r="HA82" s="71"/>
      <c r="HB82" s="71"/>
      <c r="HC82" s="71"/>
      <c r="HD82" s="71"/>
      <c r="HM82" s="83" t="s">
        <v>876</v>
      </c>
      <c r="HN82" s="73" t="str">
        <f>mehrsprachigkeitBegriffsrückgabe(gewählteSpracheZurückgeben(), "Fixed price")</f>
        <v>Anpassung mit fixem Preis</v>
      </c>
      <c r="HW82" s="83" t="s">
        <v>876</v>
      </c>
      <c r="HX82" s="73" t="str">
        <f>mehrsprachigkeitBegriffsrückgabe(gewählteSpracheZurückgeben(), "Fixed price")</f>
        <v>Anpassung mit fixem Preis</v>
      </c>
      <c r="HY82" s="77">
        <v>1</v>
      </c>
      <c r="KT82" s="74">
        <v>0</v>
      </c>
      <c r="KU82" s="73" t="str">
        <f>mehrsprachigkeitBegriffsrückgabe(gewählteSpracheZurückgeben(), "Percent")</f>
        <v>Prozentuale Anpassung</v>
      </c>
      <c r="KX82" s="75">
        <v>0</v>
      </c>
      <c r="LH82" s="72" t="s">
        <v>767</v>
      </c>
      <c r="LI82" s="72" t="s">
        <v>744</v>
      </c>
    </row>
    <row r="83" spans="1:321" ht="15.95" customHeight="1" x14ac:dyDescent="0.25">
      <c r="B83" s="162"/>
      <c r="C83" s="162"/>
      <c r="D83" s="162"/>
      <c r="F83" s="71" t="str">
        <f>mehrsprachigkeitBegriffsrückgabe(gewählteSpracheZurückgeben(), "Variant (foreign language)")</f>
        <v>Variante (Fremdsprache)</v>
      </c>
      <c r="H83" s="72" t="s">
        <v>874</v>
      </c>
      <c r="I83" s="72" t="s">
        <v>94</v>
      </c>
      <c r="BA83" s="147"/>
      <c r="BF83" s="147"/>
      <c r="BG83" s="83"/>
      <c r="BH83" s="73"/>
      <c r="BI83" s="147"/>
      <c r="BJ83" s="77"/>
      <c r="BK83" s="73"/>
      <c r="BL83" s="73"/>
      <c r="BM83" s="77"/>
      <c r="BN83" s="73"/>
      <c r="BO83" s="73"/>
      <c r="BP83" s="147"/>
      <c r="BQ83" s="83"/>
      <c r="BR83" s="73"/>
      <c r="BS83" s="77"/>
      <c r="BT83" s="147"/>
      <c r="BU83" s="77"/>
      <c r="BV83" s="77"/>
      <c r="BW83" s="83"/>
      <c r="BX83" s="73"/>
      <c r="BY83" s="77"/>
      <c r="BZ83" s="73"/>
      <c r="CA83" s="73"/>
      <c r="CB83" s="77"/>
      <c r="CC83" s="73"/>
      <c r="CD83" s="73"/>
      <c r="CE83" s="83"/>
      <c r="CF83" s="73"/>
      <c r="CG83" s="77"/>
      <c r="CH83" s="147"/>
      <c r="CI83" s="77"/>
      <c r="CJ83" s="77"/>
      <c r="CK83" s="83"/>
      <c r="CL83" s="73"/>
      <c r="CM83" s="77"/>
      <c r="CN83" s="73"/>
      <c r="CO83" s="73"/>
      <c r="CP83" s="77"/>
      <c r="CQ83" s="73"/>
      <c r="CR83" s="73"/>
      <c r="CS83" s="83"/>
      <c r="CT83" s="73"/>
      <c r="CU83" s="77"/>
      <c r="CV83" s="147"/>
      <c r="CW83" s="77"/>
      <c r="CX83" s="77"/>
      <c r="CY83" s="83"/>
      <c r="CZ83" s="73"/>
      <c r="DA83" s="77"/>
      <c r="DB83" s="73"/>
      <c r="DC83" s="73"/>
      <c r="DD83" s="77"/>
      <c r="DE83" s="73"/>
      <c r="DF83" s="73"/>
      <c r="DG83" s="83"/>
      <c r="DH83" s="73"/>
      <c r="DI83" s="77"/>
      <c r="DJ83" s="147"/>
      <c r="DK83" s="77"/>
      <c r="DL83" s="77"/>
      <c r="DM83" s="83"/>
      <c r="DN83" s="73"/>
      <c r="DO83" s="77"/>
      <c r="DP83" s="73"/>
      <c r="DQ83" s="73"/>
      <c r="DR83" s="77"/>
      <c r="DS83" s="73"/>
      <c r="DT83" s="73"/>
      <c r="DU83" s="83"/>
      <c r="DV83" s="73"/>
      <c r="DW83" s="77"/>
      <c r="DX83" s="147"/>
      <c r="DY83" s="77"/>
      <c r="DZ83" s="77"/>
      <c r="EA83" s="83"/>
      <c r="EB83" s="73"/>
      <c r="EC83" s="77"/>
      <c r="ED83" s="73"/>
      <c r="EE83" s="73"/>
      <c r="EF83" s="77"/>
      <c r="EG83" s="73"/>
      <c r="EH83" s="73"/>
      <c r="EI83" s="83"/>
      <c r="EJ83" s="73"/>
      <c r="EK83" s="77"/>
      <c r="EL83" s="147"/>
      <c r="EN83" s="74"/>
      <c r="EO83" s="73"/>
      <c r="ER83" s="75"/>
      <c r="ES83" s="76"/>
      <c r="ET83" s="77"/>
      <c r="EU83" s="77"/>
      <c r="EV83" s="78"/>
      <c r="FA83" s="172"/>
      <c r="FB83" s="163"/>
      <c r="FC83" s="172"/>
      <c r="FH83" s="147"/>
      <c r="FL83" s="71"/>
      <c r="FM83" s="71"/>
      <c r="FN83" s="71"/>
      <c r="FO83" s="71"/>
      <c r="FP83" s="71"/>
      <c r="FQ83" s="71"/>
      <c r="FR83" s="71"/>
      <c r="FS83" s="147"/>
      <c r="FW83" s="71"/>
      <c r="FX83" s="71"/>
      <c r="FY83" s="71"/>
      <c r="FZ83" s="71"/>
      <c r="GA83" s="71"/>
      <c r="GB83" s="71"/>
      <c r="GC83" s="71"/>
      <c r="GD83" s="71"/>
      <c r="GE83" s="71"/>
      <c r="GF83" s="71"/>
      <c r="GG83" s="71"/>
      <c r="GH83" s="71"/>
      <c r="GI83" s="71"/>
      <c r="GJ83" s="71"/>
      <c r="GK83" s="71"/>
      <c r="GL83" s="71"/>
      <c r="GM83" s="71"/>
      <c r="GN83" s="71"/>
      <c r="GO83" s="71"/>
      <c r="GP83" s="71"/>
      <c r="GQ83" s="71"/>
      <c r="GR83" s="71"/>
      <c r="GS83" s="71"/>
      <c r="GT83" s="71"/>
      <c r="GU83" s="71"/>
      <c r="GV83" s="71"/>
      <c r="GW83" s="71"/>
      <c r="GX83" s="71"/>
      <c r="GY83" s="71"/>
      <c r="GZ83" s="71"/>
      <c r="HA83" s="71"/>
      <c r="HB83" s="71"/>
      <c r="HC83" s="71"/>
      <c r="HD83" s="71"/>
    </row>
    <row r="84" spans="1:321" ht="15.95" customHeight="1" x14ac:dyDescent="0.25">
      <c r="A84" s="71">
        <v>3072</v>
      </c>
      <c r="B84" s="162"/>
      <c r="C84" s="162"/>
      <c r="D84" s="162">
        <v>1</v>
      </c>
      <c r="F84" s="71" t="str">
        <f>mehrsprachigkeitBegriffsrückgabe(gewählteSpracheZurückgeben(), "Variant")</f>
        <v>Variante</v>
      </c>
      <c r="G84" s="72" t="s">
        <v>877</v>
      </c>
      <c r="H84" s="72" t="s">
        <v>826</v>
      </c>
      <c r="I84" s="72" t="s">
        <v>86</v>
      </c>
      <c r="K84" s="72" t="s">
        <v>878</v>
      </c>
      <c r="M84" s="150" t="s">
        <v>700</v>
      </c>
      <c r="N84" s="72" t="s">
        <v>718</v>
      </c>
      <c r="O84" s="72" t="s">
        <v>699</v>
      </c>
      <c r="P84" s="72" t="s">
        <v>709</v>
      </c>
      <c r="Q84" s="72" t="s">
        <v>702</v>
      </c>
      <c r="R84" s="72" t="s">
        <v>730</v>
      </c>
      <c r="S84" s="72" t="s">
        <v>701</v>
      </c>
      <c r="T84" s="72" t="s">
        <v>721</v>
      </c>
      <c r="BA84" s="147"/>
      <c r="BF84" s="147"/>
      <c r="BG84" s="83"/>
      <c r="BH84" s="73"/>
      <c r="BI84" s="147"/>
      <c r="BJ84" s="77"/>
      <c r="BK84" s="73"/>
      <c r="BL84" s="73"/>
      <c r="BM84" s="77"/>
      <c r="BN84" s="73"/>
      <c r="BO84" s="73"/>
      <c r="BP84" s="147"/>
      <c r="BQ84" s="83"/>
      <c r="BR84" s="73"/>
      <c r="BS84" s="77"/>
      <c r="BT84" s="147"/>
      <c r="BU84" s="77"/>
      <c r="BV84" s="77"/>
      <c r="BW84" s="83"/>
      <c r="BX84" s="73"/>
      <c r="BY84" s="77"/>
      <c r="BZ84" s="73"/>
      <c r="CA84" s="73"/>
      <c r="CB84" s="77"/>
      <c r="CC84" s="73"/>
      <c r="CD84" s="73"/>
      <c r="CE84" s="83"/>
      <c r="CF84" s="73"/>
      <c r="CG84" s="77"/>
      <c r="CH84" s="147"/>
      <c r="CI84" s="77"/>
      <c r="CJ84" s="77"/>
      <c r="CK84" s="83"/>
      <c r="CL84" s="73"/>
      <c r="CM84" s="77"/>
      <c r="CN84" s="73"/>
      <c r="CO84" s="73"/>
      <c r="CP84" s="77"/>
      <c r="CQ84" s="73"/>
      <c r="CR84" s="73"/>
      <c r="CS84" s="83"/>
      <c r="CT84" s="73"/>
      <c r="CU84" s="77"/>
      <c r="CV84" s="147"/>
      <c r="CW84" s="77"/>
      <c r="CX84" s="77"/>
      <c r="CY84" s="83"/>
      <c r="CZ84" s="73"/>
      <c r="DA84" s="77"/>
      <c r="DB84" s="73"/>
      <c r="DC84" s="73"/>
      <c r="DD84" s="77"/>
      <c r="DE84" s="73"/>
      <c r="DF84" s="73"/>
      <c r="DG84" s="83"/>
      <c r="DH84" s="73"/>
      <c r="DI84" s="77"/>
      <c r="DJ84" s="147"/>
      <c r="DK84" s="77"/>
      <c r="DL84" s="77"/>
      <c r="DM84" s="83"/>
      <c r="DN84" s="73"/>
      <c r="DO84" s="77"/>
      <c r="DP84" s="73"/>
      <c r="DQ84" s="73"/>
      <c r="DR84" s="77"/>
      <c r="DS84" s="73"/>
      <c r="DT84" s="73"/>
      <c r="DU84" s="83"/>
      <c r="DV84" s="73"/>
      <c r="DW84" s="77"/>
      <c r="DX84" s="147"/>
      <c r="DY84" s="77"/>
      <c r="DZ84" s="77"/>
      <c r="EA84" s="83"/>
      <c r="EB84" s="73"/>
      <c r="EC84" s="77"/>
      <c r="ED84" s="73"/>
      <c r="EE84" s="73"/>
      <c r="EF84" s="77"/>
      <c r="EG84" s="73"/>
      <c r="EH84" s="73"/>
      <c r="EI84" s="83"/>
      <c r="EJ84" s="73"/>
      <c r="EK84" s="77"/>
      <c r="EL84" s="147"/>
      <c r="EN84" s="74"/>
      <c r="EO84" s="73"/>
      <c r="ER84" s="75"/>
      <c r="ES84" s="76"/>
      <c r="ET84" s="77"/>
      <c r="EU84" s="77"/>
      <c r="EV84" s="78"/>
      <c r="FA84" s="172"/>
      <c r="FB84" s="163"/>
      <c r="FC84" s="172"/>
      <c r="FH84" s="147"/>
      <c r="FL84" s="71"/>
      <c r="FM84" s="71"/>
      <c r="FN84" s="71"/>
      <c r="FO84" s="71"/>
      <c r="FP84" s="71"/>
      <c r="FQ84" s="71"/>
      <c r="FR84" s="71"/>
      <c r="FS84" s="147"/>
      <c r="FW84" s="71"/>
      <c r="FX84" s="71"/>
      <c r="FY84" s="71"/>
      <c r="FZ84" s="71"/>
      <c r="GA84" s="71"/>
      <c r="GB84" s="71"/>
      <c r="GC84" s="71"/>
      <c r="GD84" s="71"/>
      <c r="GE84" s="71"/>
      <c r="GF84" s="71"/>
      <c r="GG84" s="71"/>
      <c r="GH84" s="71"/>
      <c r="GI84" s="71"/>
      <c r="GJ84" s="71"/>
      <c r="GK84" s="71"/>
      <c r="GL84" s="71"/>
      <c r="GM84" s="71"/>
      <c r="GN84" s="71"/>
      <c r="GO84" s="71"/>
      <c r="GP84" s="71"/>
      <c r="GQ84" s="71"/>
      <c r="GR84" s="71"/>
      <c r="GS84" s="71"/>
      <c r="GT84" s="71"/>
      <c r="GU84" s="71"/>
      <c r="GV84" s="71"/>
      <c r="GW84" s="71"/>
      <c r="GX84" s="71"/>
      <c r="GY84" s="71"/>
      <c r="GZ84" s="71"/>
      <c r="HA84" s="71"/>
      <c r="HB84" s="71"/>
      <c r="HC84" s="71"/>
      <c r="HD84" s="71"/>
      <c r="HM84" s="83" t="s">
        <v>876</v>
      </c>
      <c r="HN84" s="73" t="str">
        <f>mehrsprachigkeitBegriffsrückgabe(gewählteSpracheZurückgeben(), "Fixed price")</f>
        <v>Anpassung mit fixem Preis</v>
      </c>
      <c r="HW84" s="83" t="s">
        <v>876</v>
      </c>
      <c r="HX84" s="73" t="str">
        <f>mehrsprachigkeitBegriffsrückgabe(gewählteSpracheZurückgeben(), "Fixed price")</f>
        <v>Anpassung mit fixem Preis</v>
      </c>
      <c r="HY84" s="77">
        <v>1</v>
      </c>
      <c r="KT84" s="74">
        <v>0</v>
      </c>
      <c r="KU84" s="73" t="str">
        <f>mehrsprachigkeitBegriffsrückgabe(gewählteSpracheZurückgeben(), "Percent")</f>
        <v>Prozentuale Anpassung</v>
      </c>
      <c r="KX84" s="75">
        <v>0</v>
      </c>
      <c r="LH84" s="72" t="s">
        <v>767</v>
      </c>
      <c r="LI84" s="72" t="s">
        <v>744</v>
      </c>
    </row>
    <row r="85" spans="1:321" ht="15.95" customHeight="1" x14ac:dyDescent="0.25">
      <c r="B85" s="162"/>
      <c r="C85" s="162"/>
      <c r="D85" s="162"/>
      <c r="F85" s="71" t="str">
        <f>mehrsprachigkeitBegriffsrückgabe(gewählteSpracheZurückgeben(), "Variant (foreign language)")</f>
        <v>Variante (Fremdsprache)</v>
      </c>
      <c r="H85" s="72" t="s">
        <v>877</v>
      </c>
      <c r="I85" s="72" t="s">
        <v>94</v>
      </c>
      <c r="BA85" s="147"/>
      <c r="BF85" s="147"/>
      <c r="BG85" s="83"/>
      <c r="BH85" s="73"/>
      <c r="BI85" s="147"/>
      <c r="BJ85" s="77"/>
      <c r="BK85" s="73"/>
      <c r="BL85" s="73"/>
      <c r="BM85" s="77"/>
      <c r="BN85" s="73"/>
      <c r="BO85" s="73"/>
      <c r="BP85" s="147"/>
      <c r="BQ85" s="83"/>
      <c r="BR85" s="73"/>
      <c r="BS85" s="77"/>
      <c r="BT85" s="147"/>
      <c r="BU85" s="77"/>
      <c r="BV85" s="77"/>
      <c r="BW85" s="83"/>
      <c r="BX85" s="73"/>
      <c r="BY85" s="77"/>
      <c r="BZ85" s="73"/>
      <c r="CA85" s="73"/>
      <c r="CB85" s="77"/>
      <c r="CC85" s="73"/>
      <c r="CD85" s="73"/>
      <c r="CE85" s="83"/>
      <c r="CF85" s="73"/>
      <c r="CG85" s="77"/>
      <c r="CH85" s="147"/>
      <c r="CI85" s="77"/>
      <c r="CJ85" s="77"/>
      <c r="CK85" s="83"/>
      <c r="CL85" s="73"/>
      <c r="CM85" s="77"/>
      <c r="CN85" s="73"/>
      <c r="CO85" s="73"/>
      <c r="CP85" s="77"/>
      <c r="CQ85" s="73"/>
      <c r="CR85" s="73"/>
      <c r="CS85" s="83"/>
      <c r="CT85" s="73"/>
      <c r="CU85" s="77"/>
      <c r="CV85" s="147"/>
      <c r="CW85" s="77"/>
      <c r="CX85" s="77"/>
      <c r="CY85" s="83"/>
      <c r="CZ85" s="73"/>
      <c r="DA85" s="77"/>
      <c r="DB85" s="73"/>
      <c r="DC85" s="73"/>
      <c r="DD85" s="77"/>
      <c r="DE85" s="73"/>
      <c r="DF85" s="73"/>
      <c r="DG85" s="83"/>
      <c r="DH85" s="73"/>
      <c r="DI85" s="77"/>
      <c r="DJ85" s="147"/>
      <c r="DK85" s="77"/>
      <c r="DL85" s="77"/>
      <c r="DM85" s="83"/>
      <c r="DN85" s="73"/>
      <c r="DO85" s="77"/>
      <c r="DP85" s="73"/>
      <c r="DQ85" s="73"/>
      <c r="DR85" s="77"/>
      <c r="DS85" s="73"/>
      <c r="DT85" s="73"/>
      <c r="DU85" s="83"/>
      <c r="DV85" s="73"/>
      <c r="DW85" s="77"/>
      <c r="DX85" s="147"/>
      <c r="DY85" s="77"/>
      <c r="DZ85" s="77"/>
      <c r="EA85" s="83"/>
      <c r="EB85" s="73"/>
      <c r="EC85" s="77"/>
      <c r="ED85" s="73"/>
      <c r="EE85" s="73"/>
      <c r="EF85" s="77"/>
      <c r="EG85" s="73"/>
      <c r="EH85" s="73"/>
      <c r="EI85" s="83"/>
      <c r="EJ85" s="73"/>
      <c r="EK85" s="77"/>
      <c r="EL85" s="147"/>
      <c r="EN85" s="74"/>
      <c r="EO85" s="73"/>
      <c r="ER85" s="75"/>
      <c r="ES85" s="76"/>
      <c r="ET85" s="77"/>
      <c r="EU85" s="77"/>
      <c r="EV85" s="78"/>
      <c r="FA85" s="172"/>
      <c r="FB85" s="163"/>
      <c r="FC85" s="172"/>
      <c r="FH85" s="147"/>
      <c r="FL85" s="71"/>
      <c r="FM85" s="71"/>
      <c r="FN85" s="71"/>
      <c r="FO85" s="71"/>
      <c r="FP85" s="71"/>
      <c r="FQ85" s="71"/>
      <c r="FR85" s="71"/>
      <c r="FS85" s="147"/>
      <c r="FW85" s="71"/>
      <c r="FX85" s="71"/>
      <c r="FY85" s="71"/>
      <c r="FZ85" s="71"/>
      <c r="GA85" s="71"/>
      <c r="GB85" s="71"/>
      <c r="GC85" s="71"/>
      <c r="GD85" s="71"/>
      <c r="GE85" s="71"/>
      <c r="GF85" s="71"/>
      <c r="GG85" s="71"/>
      <c r="GH85" s="71"/>
      <c r="GI85" s="71"/>
      <c r="GJ85" s="71"/>
      <c r="GK85" s="71"/>
      <c r="GL85" s="71"/>
      <c r="GM85" s="71"/>
      <c r="GN85" s="71"/>
      <c r="GO85" s="71"/>
      <c r="GP85" s="71"/>
      <c r="GQ85" s="71"/>
      <c r="GR85" s="71"/>
      <c r="GS85" s="71"/>
      <c r="GT85" s="71"/>
      <c r="GU85" s="71"/>
      <c r="GV85" s="71"/>
      <c r="GW85" s="71"/>
      <c r="GX85" s="71"/>
      <c r="GY85" s="71"/>
      <c r="GZ85" s="71"/>
      <c r="HA85" s="71"/>
      <c r="HB85" s="71"/>
      <c r="HC85" s="71"/>
      <c r="HD85" s="71"/>
    </row>
    <row r="86" spans="1:321" ht="15.95" customHeight="1" x14ac:dyDescent="0.25">
      <c r="A86" s="71">
        <v>3200</v>
      </c>
      <c r="B86" s="162"/>
      <c r="C86" s="162"/>
      <c r="D86" s="162">
        <v>1</v>
      </c>
      <c r="F86" s="71" t="str">
        <f>mehrsprachigkeitBegriffsrückgabe(gewählteSpracheZurückgeben(), "Variant")</f>
        <v>Variante</v>
      </c>
      <c r="G86" s="72" t="s">
        <v>879</v>
      </c>
      <c r="H86" s="72" t="s">
        <v>826</v>
      </c>
      <c r="I86" s="72" t="s">
        <v>86</v>
      </c>
      <c r="K86" s="72" t="s">
        <v>880</v>
      </c>
      <c r="M86" s="150" t="s">
        <v>700</v>
      </c>
      <c r="N86" s="72" t="s">
        <v>713</v>
      </c>
      <c r="O86" s="72" t="s">
        <v>699</v>
      </c>
      <c r="P86" s="72" t="s">
        <v>710</v>
      </c>
      <c r="Q86" s="72" t="s">
        <v>702</v>
      </c>
      <c r="R86" s="72" t="s">
        <v>730</v>
      </c>
      <c r="S86" s="72" t="s">
        <v>701</v>
      </c>
      <c r="T86" s="72" t="s">
        <v>721</v>
      </c>
      <c r="BA86" s="147"/>
      <c r="BF86" s="147"/>
      <c r="BG86" s="83"/>
      <c r="BH86" s="73"/>
      <c r="BI86" s="147"/>
      <c r="BJ86" s="77"/>
      <c r="BK86" s="73"/>
      <c r="BL86" s="73"/>
      <c r="BM86" s="77"/>
      <c r="BN86" s="73"/>
      <c r="BO86" s="73"/>
      <c r="BP86" s="147"/>
      <c r="BQ86" s="83"/>
      <c r="BR86" s="73"/>
      <c r="BS86" s="77"/>
      <c r="BT86" s="147"/>
      <c r="BU86" s="77"/>
      <c r="BV86" s="77"/>
      <c r="BW86" s="83"/>
      <c r="BX86" s="73"/>
      <c r="BY86" s="77"/>
      <c r="BZ86" s="73"/>
      <c r="CA86" s="73"/>
      <c r="CB86" s="77"/>
      <c r="CC86" s="73"/>
      <c r="CD86" s="73"/>
      <c r="CE86" s="83"/>
      <c r="CF86" s="73"/>
      <c r="CG86" s="77"/>
      <c r="CH86" s="147"/>
      <c r="CI86" s="77"/>
      <c r="CJ86" s="77"/>
      <c r="CK86" s="83"/>
      <c r="CL86" s="73"/>
      <c r="CM86" s="77"/>
      <c r="CN86" s="73"/>
      <c r="CO86" s="73"/>
      <c r="CP86" s="77"/>
      <c r="CQ86" s="73"/>
      <c r="CR86" s="73"/>
      <c r="CS86" s="83"/>
      <c r="CT86" s="73"/>
      <c r="CU86" s="77"/>
      <c r="CV86" s="147"/>
      <c r="CW86" s="77"/>
      <c r="CX86" s="77"/>
      <c r="CY86" s="83"/>
      <c r="CZ86" s="73"/>
      <c r="DA86" s="77"/>
      <c r="DB86" s="73"/>
      <c r="DC86" s="73"/>
      <c r="DD86" s="77"/>
      <c r="DE86" s="73"/>
      <c r="DF86" s="73"/>
      <c r="DG86" s="83"/>
      <c r="DH86" s="73"/>
      <c r="DI86" s="77"/>
      <c r="DJ86" s="147"/>
      <c r="DK86" s="77"/>
      <c r="DL86" s="77"/>
      <c r="DM86" s="83"/>
      <c r="DN86" s="73"/>
      <c r="DO86" s="77"/>
      <c r="DP86" s="73"/>
      <c r="DQ86" s="73"/>
      <c r="DR86" s="77"/>
      <c r="DS86" s="73"/>
      <c r="DT86" s="73"/>
      <c r="DU86" s="83"/>
      <c r="DV86" s="73"/>
      <c r="DW86" s="77"/>
      <c r="DX86" s="147"/>
      <c r="DY86" s="77"/>
      <c r="DZ86" s="77"/>
      <c r="EA86" s="83"/>
      <c r="EB86" s="73"/>
      <c r="EC86" s="77"/>
      <c r="ED86" s="73"/>
      <c r="EE86" s="73"/>
      <c r="EF86" s="77"/>
      <c r="EG86" s="73"/>
      <c r="EH86" s="73"/>
      <c r="EI86" s="83"/>
      <c r="EJ86" s="73"/>
      <c r="EK86" s="77"/>
      <c r="EL86" s="147"/>
      <c r="EN86" s="74"/>
      <c r="EO86" s="73"/>
      <c r="ER86" s="75"/>
      <c r="ES86" s="76"/>
      <c r="ET86" s="77"/>
      <c r="EU86" s="77"/>
      <c r="EV86" s="78"/>
      <c r="FA86" s="172"/>
      <c r="FB86" s="163"/>
      <c r="FC86" s="172"/>
      <c r="FH86" s="147"/>
      <c r="FL86" s="71"/>
      <c r="FM86" s="71"/>
      <c r="FN86" s="71"/>
      <c r="FO86" s="71"/>
      <c r="FP86" s="71"/>
      <c r="FQ86" s="71"/>
      <c r="FR86" s="71"/>
      <c r="FS86" s="147"/>
      <c r="FW86" s="71"/>
      <c r="FX86" s="71"/>
      <c r="FY86" s="71"/>
      <c r="FZ86" s="71"/>
      <c r="GA86" s="71"/>
      <c r="GB86" s="71"/>
      <c r="GC86" s="71"/>
      <c r="GD86" s="71"/>
      <c r="GE86" s="71"/>
      <c r="GF86" s="71"/>
      <c r="GG86" s="71"/>
      <c r="GH86" s="71"/>
      <c r="GI86" s="71"/>
      <c r="GJ86" s="71"/>
      <c r="GK86" s="71"/>
      <c r="GL86" s="71"/>
      <c r="GM86" s="71"/>
      <c r="GN86" s="71"/>
      <c r="GO86" s="71"/>
      <c r="GP86" s="71"/>
      <c r="GQ86" s="71"/>
      <c r="GR86" s="71"/>
      <c r="GS86" s="71"/>
      <c r="GT86" s="71"/>
      <c r="GU86" s="71"/>
      <c r="GV86" s="71"/>
      <c r="GW86" s="71"/>
      <c r="GX86" s="71"/>
      <c r="GY86" s="71"/>
      <c r="GZ86" s="71"/>
      <c r="HA86" s="71"/>
      <c r="HB86" s="71"/>
      <c r="HC86" s="71"/>
      <c r="HD86" s="71"/>
      <c r="HM86" s="83" t="s">
        <v>876</v>
      </c>
      <c r="HN86" s="73" t="str">
        <f>mehrsprachigkeitBegriffsrückgabe(gewählteSpracheZurückgeben(), "Fixed price")</f>
        <v>Anpassung mit fixem Preis</v>
      </c>
      <c r="HW86" s="83" t="s">
        <v>876</v>
      </c>
      <c r="HX86" s="73" t="str">
        <f>mehrsprachigkeitBegriffsrückgabe(gewählteSpracheZurückgeben(), "Fixed price")</f>
        <v>Anpassung mit fixem Preis</v>
      </c>
      <c r="HY86" s="77">
        <v>1</v>
      </c>
      <c r="KT86" s="74">
        <v>0</v>
      </c>
      <c r="KU86" s="73" t="str">
        <f>mehrsprachigkeitBegriffsrückgabe(gewählteSpracheZurückgeben(), "Percent")</f>
        <v>Prozentuale Anpassung</v>
      </c>
      <c r="KX86" s="75">
        <v>0</v>
      </c>
      <c r="LH86" s="72" t="s">
        <v>767</v>
      </c>
      <c r="LI86" s="72" t="s">
        <v>744</v>
      </c>
    </row>
    <row r="87" spans="1:321" ht="15.95" customHeight="1" x14ac:dyDescent="0.25">
      <c r="B87" s="162"/>
      <c r="C87" s="162"/>
      <c r="D87" s="162"/>
      <c r="F87" s="71" t="str">
        <f>mehrsprachigkeitBegriffsrückgabe(gewählteSpracheZurückgeben(), "Variant (foreign language)")</f>
        <v>Variante (Fremdsprache)</v>
      </c>
      <c r="H87" s="72" t="s">
        <v>879</v>
      </c>
      <c r="I87" s="72" t="s">
        <v>94</v>
      </c>
      <c r="BA87" s="147"/>
      <c r="BF87" s="147"/>
      <c r="BG87" s="83"/>
      <c r="BH87" s="73"/>
      <c r="BI87" s="147"/>
      <c r="BJ87" s="77"/>
      <c r="BK87" s="73"/>
      <c r="BL87" s="73"/>
      <c r="BM87" s="77"/>
      <c r="BN87" s="73"/>
      <c r="BO87" s="73"/>
      <c r="BP87" s="147"/>
      <c r="BQ87" s="83"/>
      <c r="BR87" s="73"/>
      <c r="BS87" s="77"/>
      <c r="BT87" s="147"/>
      <c r="BU87" s="77"/>
      <c r="BV87" s="77"/>
      <c r="BW87" s="83"/>
      <c r="BX87" s="73"/>
      <c r="BY87" s="77"/>
      <c r="BZ87" s="73"/>
      <c r="CA87" s="73"/>
      <c r="CB87" s="77"/>
      <c r="CC87" s="73"/>
      <c r="CD87" s="73"/>
      <c r="CE87" s="83"/>
      <c r="CF87" s="73"/>
      <c r="CG87" s="77"/>
      <c r="CH87" s="147"/>
      <c r="CI87" s="77"/>
      <c r="CJ87" s="77"/>
      <c r="CK87" s="83"/>
      <c r="CL87" s="73"/>
      <c r="CM87" s="77"/>
      <c r="CN87" s="73"/>
      <c r="CO87" s="73"/>
      <c r="CP87" s="77"/>
      <c r="CQ87" s="73"/>
      <c r="CR87" s="73"/>
      <c r="CS87" s="83"/>
      <c r="CT87" s="73"/>
      <c r="CU87" s="77"/>
      <c r="CV87" s="147"/>
      <c r="CW87" s="77"/>
      <c r="CX87" s="77"/>
      <c r="CY87" s="83"/>
      <c r="CZ87" s="73"/>
      <c r="DA87" s="77"/>
      <c r="DB87" s="73"/>
      <c r="DC87" s="73"/>
      <c r="DD87" s="77"/>
      <c r="DE87" s="73"/>
      <c r="DF87" s="73"/>
      <c r="DG87" s="83"/>
      <c r="DH87" s="73"/>
      <c r="DI87" s="77"/>
      <c r="DJ87" s="147"/>
      <c r="DK87" s="77"/>
      <c r="DL87" s="77"/>
      <c r="DM87" s="83"/>
      <c r="DN87" s="73"/>
      <c r="DO87" s="77"/>
      <c r="DP87" s="73"/>
      <c r="DQ87" s="73"/>
      <c r="DR87" s="77"/>
      <c r="DS87" s="73"/>
      <c r="DT87" s="73"/>
      <c r="DU87" s="83"/>
      <c r="DV87" s="73"/>
      <c r="DW87" s="77"/>
      <c r="DX87" s="147"/>
      <c r="DY87" s="77"/>
      <c r="DZ87" s="77"/>
      <c r="EA87" s="83"/>
      <c r="EB87" s="73"/>
      <c r="EC87" s="77"/>
      <c r="ED87" s="73"/>
      <c r="EE87" s="73"/>
      <c r="EF87" s="77"/>
      <c r="EG87" s="73"/>
      <c r="EH87" s="73"/>
      <c r="EI87" s="83"/>
      <c r="EJ87" s="73"/>
      <c r="EK87" s="77"/>
      <c r="EL87" s="147"/>
      <c r="EN87" s="74"/>
      <c r="EO87" s="73"/>
      <c r="ER87" s="75"/>
      <c r="ES87" s="76"/>
      <c r="ET87" s="77"/>
      <c r="EU87" s="77"/>
      <c r="EV87" s="78"/>
      <c r="FA87" s="172"/>
      <c r="FB87" s="163"/>
      <c r="FC87" s="172"/>
      <c r="FH87" s="147"/>
      <c r="FL87" s="71"/>
      <c r="FM87" s="71"/>
      <c r="FN87" s="71"/>
      <c r="FO87" s="71"/>
      <c r="FP87" s="71"/>
      <c r="FQ87" s="71"/>
      <c r="FR87" s="71"/>
      <c r="FS87" s="147"/>
      <c r="FW87" s="71"/>
      <c r="FX87" s="71"/>
      <c r="FY87" s="71"/>
      <c r="FZ87" s="71"/>
      <c r="GA87" s="71"/>
      <c r="GB87" s="71"/>
      <c r="GC87" s="71"/>
      <c r="GD87" s="71"/>
      <c r="GE87" s="71"/>
      <c r="GF87" s="71"/>
      <c r="GG87" s="71"/>
      <c r="GH87" s="71"/>
      <c r="GI87" s="71"/>
      <c r="GJ87" s="71"/>
      <c r="GK87" s="71"/>
      <c r="GL87" s="71"/>
      <c r="GM87" s="71"/>
      <c r="GN87" s="71"/>
      <c r="GO87" s="71"/>
      <c r="GP87" s="71"/>
      <c r="GQ87" s="71"/>
      <c r="GR87" s="71"/>
      <c r="GS87" s="71"/>
      <c r="GT87" s="71"/>
      <c r="GU87" s="71"/>
      <c r="GV87" s="71"/>
      <c r="GW87" s="71"/>
      <c r="GX87" s="71"/>
      <c r="GY87" s="71"/>
      <c r="GZ87" s="71"/>
      <c r="HA87" s="71"/>
      <c r="HB87" s="71"/>
      <c r="HC87" s="71"/>
      <c r="HD87" s="71"/>
    </row>
    <row r="88" spans="1:321" ht="15.95" customHeight="1" x14ac:dyDescent="0.25">
      <c r="A88" s="71">
        <v>3328</v>
      </c>
      <c r="B88" s="162"/>
      <c r="C88" s="162"/>
      <c r="D88" s="162">
        <v>1</v>
      </c>
      <c r="F88" s="71" t="str">
        <f>mehrsprachigkeitBegriffsrückgabe(gewählteSpracheZurückgeben(), "Variant")</f>
        <v>Variante</v>
      </c>
      <c r="G88" s="72" t="s">
        <v>881</v>
      </c>
      <c r="H88" s="72" t="s">
        <v>826</v>
      </c>
      <c r="I88" s="72" t="s">
        <v>86</v>
      </c>
      <c r="K88" s="72" t="s">
        <v>882</v>
      </c>
      <c r="M88" s="150" t="s">
        <v>700</v>
      </c>
      <c r="N88" s="72" t="s">
        <v>713</v>
      </c>
      <c r="O88" s="72" t="s">
        <v>699</v>
      </c>
      <c r="P88" s="72" t="s">
        <v>709</v>
      </c>
      <c r="Q88" s="72" t="s">
        <v>702</v>
      </c>
      <c r="R88" s="72" t="s">
        <v>730</v>
      </c>
      <c r="S88" s="72" t="s">
        <v>701</v>
      </c>
      <c r="T88" s="72" t="s">
        <v>721</v>
      </c>
      <c r="BA88" s="147"/>
      <c r="BF88" s="147"/>
      <c r="BG88" s="83"/>
      <c r="BH88" s="73"/>
      <c r="BI88" s="147"/>
      <c r="BJ88" s="77"/>
      <c r="BK88" s="73"/>
      <c r="BL88" s="73"/>
      <c r="BM88" s="77"/>
      <c r="BN88" s="73"/>
      <c r="BO88" s="73"/>
      <c r="BP88" s="147"/>
      <c r="BQ88" s="83"/>
      <c r="BR88" s="73"/>
      <c r="BS88" s="77"/>
      <c r="BT88" s="147"/>
      <c r="BU88" s="77"/>
      <c r="BV88" s="77"/>
      <c r="BW88" s="83"/>
      <c r="BX88" s="73"/>
      <c r="BY88" s="77"/>
      <c r="BZ88" s="73"/>
      <c r="CA88" s="73"/>
      <c r="CB88" s="77"/>
      <c r="CC88" s="73"/>
      <c r="CD88" s="73"/>
      <c r="CE88" s="83"/>
      <c r="CF88" s="73"/>
      <c r="CG88" s="77"/>
      <c r="CH88" s="147"/>
      <c r="CI88" s="77"/>
      <c r="CJ88" s="77"/>
      <c r="CK88" s="83"/>
      <c r="CL88" s="73"/>
      <c r="CM88" s="77"/>
      <c r="CN88" s="73"/>
      <c r="CO88" s="73"/>
      <c r="CP88" s="77"/>
      <c r="CQ88" s="73"/>
      <c r="CR88" s="73"/>
      <c r="CS88" s="83"/>
      <c r="CT88" s="73"/>
      <c r="CU88" s="77"/>
      <c r="CV88" s="147"/>
      <c r="CW88" s="77"/>
      <c r="CX88" s="77"/>
      <c r="CY88" s="83"/>
      <c r="CZ88" s="73"/>
      <c r="DA88" s="77"/>
      <c r="DB88" s="73"/>
      <c r="DC88" s="73"/>
      <c r="DD88" s="77"/>
      <c r="DE88" s="73"/>
      <c r="DF88" s="73"/>
      <c r="DG88" s="83"/>
      <c r="DH88" s="73"/>
      <c r="DI88" s="77"/>
      <c r="DJ88" s="147"/>
      <c r="DK88" s="77"/>
      <c r="DL88" s="77"/>
      <c r="DM88" s="83"/>
      <c r="DN88" s="73"/>
      <c r="DO88" s="77"/>
      <c r="DP88" s="73"/>
      <c r="DQ88" s="73"/>
      <c r="DR88" s="77"/>
      <c r="DS88" s="73"/>
      <c r="DT88" s="73"/>
      <c r="DU88" s="83"/>
      <c r="DV88" s="73"/>
      <c r="DW88" s="77"/>
      <c r="DX88" s="147"/>
      <c r="DY88" s="77"/>
      <c r="DZ88" s="77"/>
      <c r="EA88" s="83"/>
      <c r="EB88" s="73"/>
      <c r="EC88" s="77"/>
      <c r="ED88" s="73"/>
      <c r="EE88" s="73"/>
      <c r="EF88" s="77"/>
      <c r="EG88" s="73"/>
      <c r="EH88" s="73"/>
      <c r="EI88" s="83"/>
      <c r="EJ88" s="73"/>
      <c r="EK88" s="77"/>
      <c r="EL88" s="147"/>
      <c r="EN88" s="74"/>
      <c r="EO88" s="73"/>
      <c r="ER88" s="75"/>
      <c r="ES88" s="76"/>
      <c r="ET88" s="77"/>
      <c r="EU88" s="77"/>
      <c r="EV88" s="78"/>
      <c r="FA88" s="172"/>
      <c r="FB88" s="163"/>
      <c r="FC88" s="172"/>
      <c r="FH88" s="147"/>
      <c r="FL88" s="71"/>
      <c r="FM88" s="71"/>
      <c r="FN88" s="71"/>
      <c r="FO88" s="71"/>
      <c r="FP88" s="71"/>
      <c r="FQ88" s="71"/>
      <c r="FR88" s="71"/>
      <c r="FS88" s="147"/>
      <c r="FW88" s="71"/>
      <c r="FX88" s="71"/>
      <c r="FY88" s="71"/>
      <c r="FZ88" s="71"/>
      <c r="GA88" s="71"/>
      <c r="GB88" s="71"/>
      <c r="GC88" s="71"/>
      <c r="GD88" s="71"/>
      <c r="GE88" s="71"/>
      <c r="GF88" s="71"/>
      <c r="GG88" s="71"/>
      <c r="GH88" s="71"/>
      <c r="GI88" s="71"/>
      <c r="GJ88" s="71"/>
      <c r="GK88" s="71"/>
      <c r="GL88" s="71"/>
      <c r="GM88" s="71"/>
      <c r="GN88" s="71"/>
      <c r="GO88" s="71"/>
      <c r="GP88" s="71"/>
      <c r="GQ88" s="71"/>
      <c r="GR88" s="71"/>
      <c r="GS88" s="71"/>
      <c r="GT88" s="71"/>
      <c r="GU88" s="71"/>
      <c r="GV88" s="71"/>
      <c r="GW88" s="71"/>
      <c r="GX88" s="71"/>
      <c r="GY88" s="71"/>
      <c r="GZ88" s="71"/>
      <c r="HA88" s="71"/>
      <c r="HB88" s="71"/>
      <c r="HC88" s="71"/>
      <c r="HD88" s="71"/>
      <c r="HM88" s="83" t="s">
        <v>876</v>
      </c>
      <c r="HN88" s="73" t="str">
        <f>mehrsprachigkeitBegriffsrückgabe(gewählteSpracheZurückgeben(), "Fixed price")</f>
        <v>Anpassung mit fixem Preis</v>
      </c>
      <c r="HW88" s="83" t="s">
        <v>876</v>
      </c>
      <c r="HX88" s="73" t="str">
        <f>mehrsprachigkeitBegriffsrückgabe(gewählteSpracheZurückgeben(), "Fixed price")</f>
        <v>Anpassung mit fixem Preis</v>
      </c>
      <c r="HY88" s="77">
        <v>1</v>
      </c>
      <c r="KT88" s="74">
        <v>0</v>
      </c>
      <c r="KU88" s="73" t="str">
        <f>mehrsprachigkeitBegriffsrückgabe(gewählteSpracheZurückgeben(), "Percent")</f>
        <v>Prozentuale Anpassung</v>
      </c>
      <c r="KX88" s="75">
        <v>0</v>
      </c>
      <c r="LH88" s="72" t="s">
        <v>767</v>
      </c>
      <c r="LI88" s="72" t="s">
        <v>744</v>
      </c>
    </row>
    <row r="89" spans="1:321" ht="15.95" customHeight="1" x14ac:dyDescent="0.25">
      <c r="B89" s="162"/>
      <c r="C89" s="162"/>
      <c r="D89" s="162"/>
      <c r="F89" s="71" t="str">
        <f>mehrsprachigkeitBegriffsrückgabe(gewählteSpracheZurückgeben(), "Variant (foreign language)")</f>
        <v>Variante (Fremdsprache)</v>
      </c>
      <c r="H89" s="72" t="s">
        <v>881</v>
      </c>
      <c r="I89" s="72" t="s">
        <v>94</v>
      </c>
      <c r="BA89" s="147"/>
      <c r="BF89" s="147"/>
      <c r="BG89" s="83"/>
      <c r="BH89" s="73"/>
      <c r="BI89" s="147"/>
      <c r="BJ89" s="77"/>
      <c r="BK89" s="73"/>
      <c r="BL89" s="73"/>
      <c r="BM89" s="77"/>
      <c r="BN89" s="73"/>
      <c r="BO89" s="73"/>
      <c r="BP89" s="147"/>
      <c r="BQ89" s="83"/>
      <c r="BR89" s="73"/>
      <c r="BS89" s="77"/>
      <c r="BT89" s="147"/>
      <c r="BU89" s="77"/>
      <c r="BV89" s="77"/>
      <c r="BW89" s="83"/>
      <c r="BX89" s="73"/>
      <c r="BY89" s="77"/>
      <c r="BZ89" s="73"/>
      <c r="CA89" s="73"/>
      <c r="CB89" s="77"/>
      <c r="CC89" s="73"/>
      <c r="CD89" s="73"/>
      <c r="CE89" s="83"/>
      <c r="CF89" s="73"/>
      <c r="CG89" s="77"/>
      <c r="CH89" s="147"/>
      <c r="CI89" s="77"/>
      <c r="CJ89" s="77"/>
      <c r="CK89" s="83"/>
      <c r="CL89" s="73"/>
      <c r="CM89" s="77"/>
      <c r="CN89" s="73"/>
      <c r="CO89" s="73"/>
      <c r="CP89" s="77"/>
      <c r="CQ89" s="73"/>
      <c r="CR89" s="73"/>
      <c r="CS89" s="83"/>
      <c r="CT89" s="73"/>
      <c r="CU89" s="77"/>
      <c r="CV89" s="147"/>
      <c r="CW89" s="77"/>
      <c r="CX89" s="77"/>
      <c r="CY89" s="83"/>
      <c r="CZ89" s="73"/>
      <c r="DA89" s="77"/>
      <c r="DB89" s="73"/>
      <c r="DC89" s="73"/>
      <c r="DD89" s="77"/>
      <c r="DE89" s="73"/>
      <c r="DF89" s="73"/>
      <c r="DG89" s="83"/>
      <c r="DH89" s="73"/>
      <c r="DI89" s="77"/>
      <c r="DJ89" s="147"/>
      <c r="DK89" s="77"/>
      <c r="DL89" s="77"/>
      <c r="DM89" s="83"/>
      <c r="DN89" s="73"/>
      <c r="DO89" s="77"/>
      <c r="DP89" s="73"/>
      <c r="DQ89" s="73"/>
      <c r="DR89" s="77"/>
      <c r="DS89" s="73"/>
      <c r="DT89" s="73"/>
      <c r="DU89" s="83"/>
      <c r="DV89" s="73"/>
      <c r="DW89" s="77"/>
      <c r="DX89" s="147"/>
      <c r="DY89" s="77"/>
      <c r="DZ89" s="77"/>
      <c r="EA89" s="83"/>
      <c r="EB89" s="73"/>
      <c r="EC89" s="77"/>
      <c r="ED89" s="73"/>
      <c r="EE89" s="73"/>
      <c r="EF89" s="77"/>
      <c r="EG89" s="73"/>
      <c r="EH89" s="73"/>
      <c r="EI89" s="83"/>
      <c r="EJ89" s="73"/>
      <c r="EK89" s="77"/>
      <c r="EL89" s="147"/>
      <c r="EN89" s="74"/>
      <c r="EO89" s="73"/>
      <c r="ER89" s="75"/>
      <c r="ES89" s="76"/>
      <c r="ET89" s="77"/>
      <c r="EU89" s="77"/>
      <c r="EV89" s="78"/>
      <c r="FA89" s="172"/>
      <c r="FB89" s="163"/>
      <c r="FC89" s="172"/>
      <c r="FH89" s="147"/>
      <c r="FL89" s="71"/>
      <c r="FM89" s="71"/>
      <c r="FN89" s="71"/>
      <c r="FO89" s="71"/>
      <c r="FP89" s="71"/>
      <c r="FQ89" s="71"/>
      <c r="FR89" s="71"/>
      <c r="FS89" s="147"/>
      <c r="FW89" s="71"/>
      <c r="FX89" s="71"/>
      <c r="FY89" s="71"/>
      <c r="FZ89" s="71"/>
      <c r="GA89" s="71"/>
      <c r="GB89" s="71"/>
      <c r="GC89" s="71"/>
      <c r="GD89" s="71"/>
      <c r="GE89" s="71"/>
      <c r="GF89" s="71"/>
      <c r="GG89" s="71"/>
      <c r="GH89" s="71"/>
      <c r="GI89" s="71"/>
      <c r="GJ89" s="71"/>
      <c r="GK89" s="71"/>
      <c r="GL89" s="71"/>
      <c r="GM89" s="71"/>
      <c r="GN89" s="71"/>
      <c r="GO89" s="71"/>
      <c r="GP89" s="71"/>
      <c r="GQ89" s="71"/>
      <c r="GR89" s="71"/>
      <c r="GS89" s="71"/>
      <c r="GT89" s="71"/>
      <c r="GU89" s="71"/>
      <c r="GV89" s="71"/>
      <c r="GW89" s="71"/>
      <c r="GX89" s="71"/>
      <c r="GY89" s="71"/>
      <c r="GZ89" s="71"/>
      <c r="HA89" s="71"/>
      <c r="HB89" s="71"/>
      <c r="HC89" s="71"/>
      <c r="HD89" s="71"/>
    </row>
    <row r="90" spans="1:321" ht="15.95" customHeight="1" x14ac:dyDescent="0.25">
      <c r="A90" s="71">
        <v>3456</v>
      </c>
      <c r="B90" s="162"/>
      <c r="C90" s="162"/>
      <c r="D90" s="162">
        <v>1</v>
      </c>
      <c r="F90" s="71" t="str">
        <f>mehrsprachigkeitBegriffsrückgabe(gewählteSpracheZurückgeben(), "Variant")</f>
        <v>Variante</v>
      </c>
      <c r="G90" s="72" t="s">
        <v>881</v>
      </c>
      <c r="H90" s="72" t="s">
        <v>826</v>
      </c>
      <c r="I90" s="72" t="s">
        <v>86</v>
      </c>
      <c r="K90" s="72" t="s">
        <v>883</v>
      </c>
      <c r="M90" s="150" t="s">
        <v>700</v>
      </c>
      <c r="N90" s="72" t="s">
        <v>713</v>
      </c>
      <c r="O90" s="72" t="s">
        <v>699</v>
      </c>
      <c r="P90" s="72" t="s">
        <v>709</v>
      </c>
      <c r="Q90" s="72" t="s">
        <v>702</v>
      </c>
      <c r="R90" s="72" t="s">
        <v>730</v>
      </c>
      <c r="S90" s="72" t="s">
        <v>701</v>
      </c>
      <c r="T90" s="72" t="s">
        <v>721</v>
      </c>
      <c r="BA90" s="147"/>
      <c r="BF90" s="147"/>
      <c r="BG90" s="83"/>
      <c r="BH90" s="73"/>
      <c r="BI90" s="147"/>
      <c r="BJ90" s="77"/>
      <c r="BK90" s="73"/>
      <c r="BL90" s="73"/>
      <c r="BM90" s="77"/>
      <c r="BN90" s="73"/>
      <c r="BO90" s="73"/>
      <c r="BP90" s="147"/>
      <c r="BQ90" s="83"/>
      <c r="BR90" s="73"/>
      <c r="BS90" s="77"/>
      <c r="BT90" s="147"/>
      <c r="BU90" s="77"/>
      <c r="BV90" s="77"/>
      <c r="BW90" s="83"/>
      <c r="BX90" s="73"/>
      <c r="BY90" s="77"/>
      <c r="BZ90" s="73"/>
      <c r="CA90" s="73"/>
      <c r="CB90" s="77"/>
      <c r="CC90" s="73"/>
      <c r="CD90" s="73"/>
      <c r="CE90" s="83"/>
      <c r="CF90" s="73"/>
      <c r="CG90" s="77"/>
      <c r="CH90" s="147"/>
      <c r="CI90" s="77"/>
      <c r="CJ90" s="77"/>
      <c r="CK90" s="83"/>
      <c r="CL90" s="73"/>
      <c r="CM90" s="77"/>
      <c r="CN90" s="73"/>
      <c r="CO90" s="73"/>
      <c r="CP90" s="77"/>
      <c r="CQ90" s="73"/>
      <c r="CR90" s="73"/>
      <c r="CS90" s="83"/>
      <c r="CT90" s="73"/>
      <c r="CU90" s="77"/>
      <c r="CV90" s="147"/>
      <c r="CW90" s="77"/>
      <c r="CX90" s="77"/>
      <c r="CY90" s="83"/>
      <c r="CZ90" s="73"/>
      <c r="DA90" s="77"/>
      <c r="DB90" s="73"/>
      <c r="DC90" s="73"/>
      <c r="DD90" s="77"/>
      <c r="DE90" s="73"/>
      <c r="DF90" s="73"/>
      <c r="DG90" s="83"/>
      <c r="DH90" s="73"/>
      <c r="DI90" s="77"/>
      <c r="DJ90" s="147"/>
      <c r="DK90" s="77"/>
      <c r="DL90" s="77"/>
      <c r="DM90" s="83"/>
      <c r="DN90" s="73"/>
      <c r="DO90" s="77"/>
      <c r="DP90" s="73"/>
      <c r="DQ90" s="73"/>
      <c r="DR90" s="77"/>
      <c r="DS90" s="73"/>
      <c r="DT90" s="73"/>
      <c r="DU90" s="83"/>
      <c r="DV90" s="73"/>
      <c r="DW90" s="77"/>
      <c r="DX90" s="147"/>
      <c r="DY90" s="77"/>
      <c r="DZ90" s="77"/>
      <c r="EA90" s="83"/>
      <c r="EB90" s="73"/>
      <c r="EC90" s="77"/>
      <c r="ED90" s="73"/>
      <c r="EE90" s="73"/>
      <c r="EF90" s="77"/>
      <c r="EG90" s="73"/>
      <c r="EH90" s="73"/>
      <c r="EI90" s="83"/>
      <c r="EJ90" s="73"/>
      <c r="EK90" s="77"/>
      <c r="EL90" s="147"/>
      <c r="EN90" s="74"/>
      <c r="EO90" s="73"/>
      <c r="ER90" s="75"/>
      <c r="ES90" s="76"/>
      <c r="ET90" s="77"/>
      <c r="EU90" s="77"/>
      <c r="EV90" s="78"/>
      <c r="FA90" s="172"/>
      <c r="FB90" s="163"/>
      <c r="FC90" s="172"/>
      <c r="FH90" s="147"/>
      <c r="FL90" s="71"/>
      <c r="FM90" s="71"/>
      <c r="FN90" s="71"/>
      <c r="FO90" s="71"/>
      <c r="FP90" s="71"/>
      <c r="FQ90" s="71"/>
      <c r="FR90" s="71"/>
      <c r="FS90" s="147"/>
      <c r="FW90" s="71"/>
      <c r="FX90" s="71"/>
      <c r="FY90" s="71"/>
      <c r="FZ90" s="71"/>
      <c r="GA90" s="71"/>
      <c r="GB90" s="71"/>
      <c r="GC90" s="71"/>
      <c r="GD90" s="71"/>
      <c r="GE90" s="71"/>
      <c r="GF90" s="71"/>
      <c r="GG90" s="71"/>
      <c r="GH90" s="71"/>
      <c r="GI90" s="71"/>
      <c r="GJ90" s="71"/>
      <c r="GK90" s="71"/>
      <c r="GL90" s="71"/>
      <c r="GM90" s="71"/>
      <c r="GN90" s="71"/>
      <c r="GO90" s="71"/>
      <c r="GP90" s="71"/>
      <c r="GQ90" s="71"/>
      <c r="GR90" s="71"/>
      <c r="GS90" s="71"/>
      <c r="GT90" s="71"/>
      <c r="GU90" s="71"/>
      <c r="GV90" s="71"/>
      <c r="GW90" s="71"/>
      <c r="GX90" s="71"/>
      <c r="GY90" s="71"/>
      <c r="GZ90" s="71"/>
      <c r="HA90" s="71"/>
      <c r="HB90" s="71"/>
      <c r="HC90" s="71"/>
      <c r="HD90" s="71"/>
      <c r="HM90" s="83" t="s">
        <v>876</v>
      </c>
      <c r="HN90" s="73" t="str">
        <f>mehrsprachigkeitBegriffsrückgabe(gewählteSpracheZurückgeben(), "Fixed price")</f>
        <v>Anpassung mit fixem Preis</v>
      </c>
      <c r="HW90" s="83" t="s">
        <v>876</v>
      </c>
      <c r="HX90" s="73" t="str">
        <f>mehrsprachigkeitBegriffsrückgabe(gewählteSpracheZurückgeben(), "Fixed price")</f>
        <v>Anpassung mit fixem Preis</v>
      </c>
      <c r="HY90" s="77">
        <v>1</v>
      </c>
      <c r="KT90" s="74">
        <v>0</v>
      </c>
      <c r="KU90" s="73" t="str">
        <f>mehrsprachigkeitBegriffsrückgabe(gewählteSpracheZurückgeben(), "Percent")</f>
        <v>Prozentuale Anpassung</v>
      </c>
      <c r="KX90" s="75">
        <v>0</v>
      </c>
      <c r="LH90" s="72" t="s">
        <v>767</v>
      </c>
      <c r="LI90" s="72" t="s">
        <v>744</v>
      </c>
    </row>
    <row r="91" spans="1:321" ht="15.95" customHeight="1" x14ac:dyDescent="0.25">
      <c r="B91" s="162"/>
      <c r="C91" s="162"/>
      <c r="D91" s="162"/>
      <c r="F91" s="71" t="str">
        <f>mehrsprachigkeitBegriffsrückgabe(gewählteSpracheZurückgeben(), "Variant (foreign language)")</f>
        <v>Variante (Fremdsprache)</v>
      </c>
      <c r="H91" s="72" t="s">
        <v>881</v>
      </c>
      <c r="I91" s="72" t="s">
        <v>94</v>
      </c>
      <c r="BA91" s="147"/>
      <c r="BF91" s="147"/>
      <c r="BG91" s="83"/>
      <c r="BH91" s="73"/>
      <c r="BI91" s="147"/>
      <c r="BJ91" s="77"/>
      <c r="BK91" s="73"/>
      <c r="BL91" s="73"/>
      <c r="BM91" s="77"/>
      <c r="BN91" s="73"/>
      <c r="BO91" s="73"/>
      <c r="BP91" s="147"/>
      <c r="BQ91" s="83"/>
      <c r="BR91" s="73"/>
      <c r="BS91" s="77"/>
      <c r="BT91" s="147"/>
      <c r="BU91" s="77"/>
      <c r="BV91" s="77"/>
      <c r="BW91" s="83"/>
      <c r="BX91" s="73"/>
      <c r="BY91" s="77"/>
      <c r="BZ91" s="73"/>
      <c r="CA91" s="73"/>
      <c r="CB91" s="77"/>
      <c r="CC91" s="73"/>
      <c r="CD91" s="73"/>
      <c r="CE91" s="83"/>
      <c r="CF91" s="73"/>
      <c r="CG91" s="77"/>
      <c r="CH91" s="147"/>
      <c r="CI91" s="77"/>
      <c r="CJ91" s="77"/>
      <c r="CK91" s="83"/>
      <c r="CL91" s="73"/>
      <c r="CM91" s="77"/>
      <c r="CN91" s="73"/>
      <c r="CO91" s="73"/>
      <c r="CP91" s="77"/>
      <c r="CQ91" s="73"/>
      <c r="CR91" s="73"/>
      <c r="CS91" s="83"/>
      <c r="CT91" s="73"/>
      <c r="CU91" s="77"/>
      <c r="CV91" s="147"/>
      <c r="CW91" s="77"/>
      <c r="CX91" s="77"/>
      <c r="CY91" s="83"/>
      <c r="CZ91" s="73"/>
      <c r="DA91" s="77"/>
      <c r="DB91" s="73"/>
      <c r="DC91" s="73"/>
      <c r="DD91" s="77"/>
      <c r="DE91" s="73"/>
      <c r="DF91" s="73"/>
      <c r="DG91" s="83"/>
      <c r="DH91" s="73"/>
      <c r="DI91" s="77"/>
      <c r="DJ91" s="147"/>
      <c r="DK91" s="77"/>
      <c r="DL91" s="77"/>
      <c r="DM91" s="83"/>
      <c r="DN91" s="73"/>
      <c r="DO91" s="77"/>
      <c r="DP91" s="73"/>
      <c r="DQ91" s="73"/>
      <c r="DR91" s="77"/>
      <c r="DS91" s="73"/>
      <c r="DT91" s="73"/>
      <c r="DU91" s="83"/>
      <c r="DV91" s="73"/>
      <c r="DW91" s="77"/>
      <c r="DX91" s="147"/>
      <c r="DY91" s="77"/>
      <c r="DZ91" s="77"/>
      <c r="EA91" s="83"/>
      <c r="EB91" s="73"/>
      <c r="EC91" s="77"/>
      <c r="ED91" s="73"/>
      <c r="EE91" s="73"/>
      <c r="EF91" s="77"/>
      <c r="EG91" s="73"/>
      <c r="EH91" s="73"/>
      <c r="EI91" s="83"/>
      <c r="EJ91" s="73"/>
      <c r="EK91" s="77"/>
      <c r="EL91" s="147"/>
      <c r="EN91" s="74"/>
      <c r="EO91" s="73"/>
      <c r="ER91" s="75"/>
      <c r="ES91" s="76"/>
      <c r="ET91" s="77"/>
      <c r="EU91" s="77"/>
      <c r="EV91" s="78"/>
      <c r="FA91" s="172"/>
      <c r="FB91" s="163"/>
      <c r="FC91" s="172"/>
      <c r="FH91" s="147"/>
      <c r="FL91" s="71"/>
      <c r="FM91" s="71"/>
      <c r="FN91" s="71"/>
      <c r="FO91" s="71"/>
      <c r="FP91" s="71"/>
      <c r="FQ91" s="71"/>
      <c r="FR91" s="71"/>
      <c r="FS91" s="147"/>
      <c r="FW91" s="71"/>
      <c r="FX91" s="71"/>
      <c r="FY91" s="71"/>
      <c r="FZ91" s="71"/>
      <c r="GA91" s="71"/>
      <c r="GB91" s="71"/>
      <c r="GC91" s="71"/>
      <c r="GD91" s="71"/>
      <c r="GE91" s="71"/>
      <c r="GF91" s="71"/>
      <c r="GG91" s="71"/>
      <c r="GH91" s="71"/>
      <c r="GI91" s="71"/>
      <c r="GJ91" s="71"/>
      <c r="GK91" s="71"/>
      <c r="GL91" s="71"/>
      <c r="GM91" s="71"/>
      <c r="GN91" s="71"/>
      <c r="GO91" s="71"/>
      <c r="GP91" s="71"/>
      <c r="GQ91" s="71"/>
      <c r="GR91" s="71"/>
      <c r="GS91" s="71"/>
      <c r="GT91" s="71"/>
      <c r="GU91" s="71"/>
      <c r="GV91" s="71"/>
      <c r="GW91" s="71"/>
      <c r="GX91" s="71"/>
      <c r="GY91" s="71"/>
      <c r="GZ91" s="71"/>
      <c r="HA91" s="71"/>
      <c r="HB91" s="71"/>
      <c r="HC91" s="71"/>
      <c r="HD91" s="71"/>
    </row>
    <row r="92" spans="1:321" ht="15.95" customHeight="1" x14ac:dyDescent="0.25">
      <c r="A92" s="71">
        <v>3584</v>
      </c>
      <c r="B92" s="162"/>
      <c r="C92" s="162"/>
      <c r="D92" s="162">
        <v>1</v>
      </c>
      <c r="F92" s="71" t="str">
        <f>mehrsprachigkeitBegriffsrückgabe(gewählteSpracheZurückgeben(), "Variant")</f>
        <v>Variante</v>
      </c>
      <c r="G92" s="72" t="s">
        <v>884</v>
      </c>
      <c r="H92" s="72" t="s">
        <v>826</v>
      </c>
      <c r="I92" s="72" t="s">
        <v>86</v>
      </c>
      <c r="K92" s="72" t="s">
        <v>885</v>
      </c>
      <c r="M92" s="150" t="s">
        <v>700</v>
      </c>
      <c r="N92" s="72" t="s">
        <v>715</v>
      </c>
      <c r="O92" s="72" t="s">
        <v>699</v>
      </c>
      <c r="P92" s="72" t="s">
        <v>524</v>
      </c>
      <c r="Q92" s="72" t="s">
        <v>702</v>
      </c>
      <c r="R92" s="72" t="s">
        <v>730</v>
      </c>
      <c r="S92" s="72" t="s">
        <v>701</v>
      </c>
      <c r="T92" s="72" t="s">
        <v>721</v>
      </c>
      <c r="BA92" s="147"/>
      <c r="BF92" s="147"/>
      <c r="BG92" s="83"/>
      <c r="BH92" s="73"/>
      <c r="BI92" s="147"/>
      <c r="BJ92" s="77"/>
      <c r="BK92" s="73"/>
      <c r="BL92" s="73"/>
      <c r="BM92" s="77"/>
      <c r="BN92" s="73"/>
      <c r="BO92" s="73"/>
      <c r="BP92" s="147"/>
      <c r="BQ92" s="83"/>
      <c r="BR92" s="73"/>
      <c r="BS92" s="77"/>
      <c r="BT92" s="147"/>
      <c r="BU92" s="77"/>
      <c r="BV92" s="77"/>
      <c r="BW92" s="83"/>
      <c r="BX92" s="73"/>
      <c r="BY92" s="77"/>
      <c r="BZ92" s="73"/>
      <c r="CA92" s="73"/>
      <c r="CB92" s="77"/>
      <c r="CC92" s="73"/>
      <c r="CD92" s="73"/>
      <c r="CE92" s="83"/>
      <c r="CF92" s="73"/>
      <c r="CG92" s="77"/>
      <c r="CH92" s="147"/>
      <c r="CI92" s="77"/>
      <c r="CJ92" s="77"/>
      <c r="CK92" s="83"/>
      <c r="CL92" s="73"/>
      <c r="CM92" s="77"/>
      <c r="CN92" s="73"/>
      <c r="CO92" s="73"/>
      <c r="CP92" s="77"/>
      <c r="CQ92" s="73"/>
      <c r="CR92" s="73"/>
      <c r="CS92" s="83"/>
      <c r="CT92" s="73"/>
      <c r="CU92" s="77"/>
      <c r="CV92" s="147"/>
      <c r="CW92" s="77"/>
      <c r="CX92" s="77"/>
      <c r="CY92" s="83"/>
      <c r="CZ92" s="73"/>
      <c r="DA92" s="77"/>
      <c r="DB92" s="73"/>
      <c r="DC92" s="73"/>
      <c r="DD92" s="77"/>
      <c r="DE92" s="73"/>
      <c r="DF92" s="73"/>
      <c r="DG92" s="83"/>
      <c r="DH92" s="73"/>
      <c r="DI92" s="77"/>
      <c r="DJ92" s="147"/>
      <c r="DK92" s="77"/>
      <c r="DL92" s="77"/>
      <c r="DM92" s="83"/>
      <c r="DN92" s="73"/>
      <c r="DO92" s="77"/>
      <c r="DP92" s="73"/>
      <c r="DQ92" s="73"/>
      <c r="DR92" s="77"/>
      <c r="DS92" s="73"/>
      <c r="DT92" s="73"/>
      <c r="DU92" s="83"/>
      <c r="DV92" s="73"/>
      <c r="DW92" s="77"/>
      <c r="DX92" s="147"/>
      <c r="DY92" s="77"/>
      <c r="DZ92" s="77"/>
      <c r="EA92" s="83"/>
      <c r="EB92" s="73"/>
      <c r="EC92" s="77"/>
      <c r="ED92" s="73"/>
      <c r="EE92" s="73"/>
      <c r="EF92" s="77"/>
      <c r="EG92" s="73"/>
      <c r="EH92" s="73"/>
      <c r="EI92" s="83"/>
      <c r="EJ92" s="73"/>
      <c r="EK92" s="77"/>
      <c r="EL92" s="147"/>
      <c r="EN92" s="74"/>
      <c r="EO92" s="73"/>
      <c r="ER92" s="75"/>
      <c r="ES92" s="76"/>
      <c r="ET92" s="77"/>
      <c r="EU92" s="77"/>
      <c r="EV92" s="78"/>
      <c r="FA92" s="172"/>
      <c r="FB92" s="163"/>
      <c r="FC92" s="172"/>
      <c r="FH92" s="147"/>
      <c r="FL92" s="71"/>
      <c r="FM92" s="71"/>
      <c r="FN92" s="71"/>
      <c r="FO92" s="71"/>
      <c r="FP92" s="71"/>
      <c r="FQ92" s="71"/>
      <c r="FR92" s="71"/>
      <c r="FS92" s="147"/>
      <c r="FW92" s="71"/>
      <c r="FX92" s="71"/>
      <c r="FY92" s="71"/>
      <c r="FZ92" s="71"/>
      <c r="GA92" s="71"/>
      <c r="GB92" s="71"/>
      <c r="GC92" s="71"/>
      <c r="GD92" s="71"/>
      <c r="GE92" s="71"/>
      <c r="GF92" s="71"/>
      <c r="GG92" s="71"/>
      <c r="GH92" s="71"/>
      <c r="GI92" s="71"/>
      <c r="GJ92" s="71"/>
      <c r="GK92" s="71"/>
      <c r="GL92" s="71"/>
      <c r="GM92" s="71"/>
      <c r="GN92" s="71"/>
      <c r="GO92" s="71"/>
      <c r="GP92" s="71"/>
      <c r="GQ92" s="71"/>
      <c r="GR92" s="71"/>
      <c r="GS92" s="71"/>
      <c r="GT92" s="71"/>
      <c r="GU92" s="71"/>
      <c r="GV92" s="71"/>
      <c r="GW92" s="71"/>
      <c r="GX92" s="71"/>
      <c r="GY92" s="71"/>
      <c r="GZ92" s="71"/>
      <c r="HA92" s="71"/>
      <c r="HB92" s="71"/>
      <c r="HC92" s="71"/>
      <c r="HD92" s="71"/>
      <c r="HM92" s="83" t="s">
        <v>876</v>
      </c>
      <c r="HN92" s="73" t="str">
        <f>mehrsprachigkeitBegriffsrückgabe(gewählteSpracheZurückgeben(), "Fixed price")</f>
        <v>Anpassung mit fixem Preis</v>
      </c>
      <c r="HW92" s="83" t="s">
        <v>876</v>
      </c>
      <c r="HX92" s="73" t="str">
        <f>mehrsprachigkeitBegriffsrückgabe(gewählteSpracheZurückgeben(), "Fixed price")</f>
        <v>Anpassung mit fixem Preis</v>
      </c>
      <c r="HY92" s="77">
        <v>1</v>
      </c>
      <c r="KT92" s="74">
        <v>0</v>
      </c>
      <c r="KU92" s="73" t="str">
        <f>mehrsprachigkeitBegriffsrückgabe(gewählteSpracheZurückgeben(), "Percent")</f>
        <v>Prozentuale Anpassung</v>
      </c>
      <c r="KX92" s="75">
        <v>0</v>
      </c>
      <c r="LH92" s="72" t="s">
        <v>767</v>
      </c>
      <c r="LI92" s="72" t="s">
        <v>744</v>
      </c>
    </row>
    <row r="93" spans="1:321" ht="15.95" customHeight="1" x14ac:dyDescent="0.25">
      <c r="B93" s="162"/>
      <c r="C93" s="162"/>
      <c r="D93" s="162"/>
      <c r="F93" s="71" t="str">
        <f>mehrsprachigkeitBegriffsrückgabe(gewählteSpracheZurückgeben(), "Variant (foreign language)")</f>
        <v>Variante (Fremdsprache)</v>
      </c>
      <c r="H93" s="72" t="s">
        <v>884</v>
      </c>
      <c r="I93" s="72" t="s">
        <v>94</v>
      </c>
      <c r="BA93" s="147"/>
      <c r="BF93" s="147"/>
      <c r="BG93" s="83"/>
      <c r="BH93" s="73"/>
      <c r="BI93" s="147"/>
      <c r="BJ93" s="77"/>
      <c r="BK93" s="73"/>
      <c r="BL93" s="73"/>
      <c r="BM93" s="77"/>
      <c r="BN93" s="73"/>
      <c r="BO93" s="73"/>
      <c r="BP93" s="147"/>
      <c r="BQ93" s="83"/>
      <c r="BR93" s="73"/>
      <c r="BS93" s="77"/>
      <c r="BT93" s="147"/>
      <c r="BU93" s="77"/>
      <c r="BV93" s="77"/>
      <c r="BW93" s="83"/>
      <c r="BX93" s="73"/>
      <c r="BY93" s="77"/>
      <c r="BZ93" s="73"/>
      <c r="CA93" s="73"/>
      <c r="CB93" s="77"/>
      <c r="CC93" s="73"/>
      <c r="CD93" s="73"/>
      <c r="CE93" s="83"/>
      <c r="CF93" s="73"/>
      <c r="CG93" s="77"/>
      <c r="CH93" s="147"/>
      <c r="CI93" s="77"/>
      <c r="CJ93" s="77"/>
      <c r="CK93" s="83"/>
      <c r="CL93" s="73"/>
      <c r="CM93" s="77"/>
      <c r="CN93" s="73"/>
      <c r="CO93" s="73"/>
      <c r="CP93" s="77"/>
      <c r="CQ93" s="73"/>
      <c r="CR93" s="73"/>
      <c r="CS93" s="83"/>
      <c r="CT93" s="73"/>
      <c r="CU93" s="77"/>
      <c r="CV93" s="147"/>
      <c r="CW93" s="77"/>
      <c r="CX93" s="77"/>
      <c r="CY93" s="83"/>
      <c r="CZ93" s="73"/>
      <c r="DA93" s="77"/>
      <c r="DB93" s="73"/>
      <c r="DC93" s="73"/>
      <c r="DD93" s="77"/>
      <c r="DE93" s="73"/>
      <c r="DF93" s="73"/>
      <c r="DG93" s="83"/>
      <c r="DH93" s="73"/>
      <c r="DI93" s="77"/>
      <c r="DJ93" s="147"/>
      <c r="DK93" s="77"/>
      <c r="DL93" s="77"/>
      <c r="DM93" s="83"/>
      <c r="DN93" s="73"/>
      <c r="DO93" s="77"/>
      <c r="DP93" s="73"/>
      <c r="DQ93" s="73"/>
      <c r="DR93" s="77"/>
      <c r="DS93" s="73"/>
      <c r="DT93" s="73"/>
      <c r="DU93" s="83"/>
      <c r="DV93" s="73"/>
      <c r="DW93" s="77"/>
      <c r="DX93" s="147"/>
      <c r="DY93" s="77"/>
      <c r="DZ93" s="77"/>
      <c r="EA93" s="83"/>
      <c r="EB93" s="73"/>
      <c r="EC93" s="77"/>
      <c r="ED93" s="73"/>
      <c r="EE93" s="73"/>
      <c r="EF93" s="77"/>
      <c r="EG93" s="73"/>
      <c r="EH93" s="73"/>
      <c r="EI93" s="83"/>
      <c r="EJ93" s="73"/>
      <c r="EK93" s="77"/>
      <c r="EL93" s="147"/>
      <c r="EN93" s="74"/>
      <c r="EO93" s="73"/>
      <c r="ER93" s="75"/>
      <c r="ES93" s="76"/>
      <c r="ET93" s="77"/>
      <c r="EU93" s="77"/>
      <c r="EV93" s="78"/>
      <c r="FA93" s="172"/>
      <c r="FB93" s="163"/>
      <c r="FC93" s="172"/>
      <c r="FH93" s="147"/>
      <c r="FL93" s="71"/>
      <c r="FM93" s="71"/>
      <c r="FN93" s="71"/>
      <c r="FO93" s="71"/>
      <c r="FP93" s="71"/>
      <c r="FQ93" s="71"/>
      <c r="FR93" s="71"/>
      <c r="FS93" s="147"/>
      <c r="FW93" s="71"/>
      <c r="FX93" s="71"/>
      <c r="FY93" s="71"/>
      <c r="FZ93" s="71"/>
      <c r="GA93" s="71"/>
      <c r="GB93" s="71"/>
      <c r="GC93" s="71"/>
      <c r="GD93" s="71"/>
      <c r="GE93" s="71"/>
      <c r="GF93" s="71"/>
      <c r="GG93" s="71"/>
      <c r="GH93" s="71"/>
      <c r="GI93" s="71"/>
      <c r="GJ93" s="71"/>
      <c r="GK93" s="71"/>
      <c r="GL93" s="71"/>
      <c r="GM93" s="71"/>
      <c r="GN93" s="71"/>
      <c r="GO93" s="71"/>
      <c r="GP93" s="71"/>
      <c r="GQ93" s="71"/>
      <c r="GR93" s="71"/>
      <c r="GS93" s="71"/>
      <c r="GT93" s="71"/>
      <c r="GU93" s="71"/>
      <c r="GV93" s="71"/>
      <c r="GW93" s="71"/>
      <c r="GX93" s="71"/>
      <c r="GY93" s="71"/>
      <c r="GZ93" s="71"/>
      <c r="HA93" s="71"/>
      <c r="HB93" s="71"/>
      <c r="HC93" s="71"/>
      <c r="HD93" s="71"/>
    </row>
    <row r="94" spans="1:321" ht="15.95" customHeight="1" x14ac:dyDescent="0.25">
      <c r="A94" s="71">
        <v>3712</v>
      </c>
      <c r="B94" s="162"/>
      <c r="C94" s="162"/>
      <c r="D94" s="162">
        <v>1</v>
      </c>
      <c r="F94" s="71" t="str">
        <f>mehrsprachigkeitBegriffsrückgabe(gewählteSpracheZurückgeben(), "Variant")</f>
        <v>Variante</v>
      </c>
      <c r="G94" s="72" t="s">
        <v>886</v>
      </c>
      <c r="H94" s="72" t="s">
        <v>826</v>
      </c>
      <c r="I94" s="72" t="s">
        <v>86</v>
      </c>
      <c r="K94" s="72" t="s">
        <v>887</v>
      </c>
      <c r="M94" s="150" t="s">
        <v>700</v>
      </c>
      <c r="N94" s="72" t="s">
        <v>718</v>
      </c>
      <c r="O94" s="72" t="s">
        <v>699</v>
      </c>
      <c r="P94" s="72" t="s">
        <v>524</v>
      </c>
      <c r="Q94" s="72" t="s">
        <v>702</v>
      </c>
      <c r="R94" s="72" t="s">
        <v>730</v>
      </c>
      <c r="S94" s="72" t="s">
        <v>701</v>
      </c>
      <c r="T94" s="72" t="s">
        <v>722</v>
      </c>
      <c r="BA94" s="147"/>
      <c r="BF94" s="147"/>
      <c r="BG94" s="83"/>
      <c r="BH94" s="73"/>
      <c r="BI94" s="147"/>
      <c r="BJ94" s="77"/>
      <c r="BK94" s="73"/>
      <c r="BL94" s="73"/>
      <c r="BM94" s="77"/>
      <c r="BN94" s="73"/>
      <c r="BO94" s="73"/>
      <c r="BP94" s="147"/>
      <c r="BQ94" s="83"/>
      <c r="BR94" s="73"/>
      <c r="BS94" s="77"/>
      <c r="BT94" s="147"/>
      <c r="BU94" s="77"/>
      <c r="BV94" s="77"/>
      <c r="BW94" s="83"/>
      <c r="BX94" s="73"/>
      <c r="BY94" s="77"/>
      <c r="BZ94" s="73"/>
      <c r="CA94" s="73"/>
      <c r="CB94" s="77"/>
      <c r="CC94" s="73"/>
      <c r="CD94" s="73"/>
      <c r="CE94" s="83"/>
      <c r="CF94" s="73"/>
      <c r="CG94" s="77"/>
      <c r="CH94" s="147"/>
      <c r="CI94" s="77"/>
      <c r="CJ94" s="77"/>
      <c r="CK94" s="83"/>
      <c r="CL94" s="73"/>
      <c r="CM94" s="77"/>
      <c r="CN94" s="73"/>
      <c r="CO94" s="73"/>
      <c r="CP94" s="77"/>
      <c r="CQ94" s="73"/>
      <c r="CR94" s="73"/>
      <c r="CS94" s="83"/>
      <c r="CT94" s="73"/>
      <c r="CU94" s="77"/>
      <c r="CV94" s="147"/>
      <c r="CW94" s="77"/>
      <c r="CX94" s="77"/>
      <c r="CY94" s="83"/>
      <c r="CZ94" s="73"/>
      <c r="DA94" s="77"/>
      <c r="DB94" s="73"/>
      <c r="DC94" s="73"/>
      <c r="DD94" s="77"/>
      <c r="DE94" s="73"/>
      <c r="DF94" s="73"/>
      <c r="DG94" s="83"/>
      <c r="DH94" s="73"/>
      <c r="DI94" s="77"/>
      <c r="DJ94" s="147"/>
      <c r="DK94" s="77"/>
      <c r="DL94" s="77"/>
      <c r="DM94" s="83"/>
      <c r="DN94" s="73"/>
      <c r="DO94" s="77"/>
      <c r="DP94" s="73"/>
      <c r="DQ94" s="73"/>
      <c r="DR94" s="77"/>
      <c r="DS94" s="73"/>
      <c r="DT94" s="73"/>
      <c r="DU94" s="83"/>
      <c r="DV94" s="73"/>
      <c r="DW94" s="77"/>
      <c r="DX94" s="147"/>
      <c r="DY94" s="77"/>
      <c r="DZ94" s="77"/>
      <c r="EA94" s="83"/>
      <c r="EB94" s="73"/>
      <c r="EC94" s="77"/>
      <c r="ED94" s="73"/>
      <c r="EE94" s="73"/>
      <c r="EF94" s="77"/>
      <c r="EG94" s="73"/>
      <c r="EH94" s="73"/>
      <c r="EI94" s="83"/>
      <c r="EJ94" s="73"/>
      <c r="EK94" s="77"/>
      <c r="EL94" s="147"/>
      <c r="EN94" s="74"/>
      <c r="EO94" s="73"/>
      <c r="ER94" s="75"/>
      <c r="ES94" s="76"/>
      <c r="ET94" s="77"/>
      <c r="EU94" s="77"/>
      <c r="EV94" s="78"/>
      <c r="FA94" s="172"/>
      <c r="FB94" s="163"/>
      <c r="FC94" s="172"/>
      <c r="FH94" s="147"/>
      <c r="FL94" s="71"/>
      <c r="FM94" s="71"/>
      <c r="FN94" s="71"/>
      <c r="FO94" s="71"/>
      <c r="FP94" s="71"/>
      <c r="FQ94" s="71"/>
      <c r="FR94" s="71"/>
      <c r="FS94" s="147"/>
      <c r="FW94" s="71"/>
      <c r="FX94" s="71"/>
      <c r="FY94" s="71"/>
      <c r="FZ94" s="71"/>
      <c r="GA94" s="71"/>
      <c r="GB94" s="71"/>
      <c r="GC94" s="71"/>
      <c r="GD94" s="71"/>
      <c r="GE94" s="71"/>
      <c r="GF94" s="71"/>
      <c r="GG94" s="71"/>
      <c r="GH94" s="71"/>
      <c r="GI94" s="71"/>
      <c r="GJ94" s="71"/>
      <c r="GK94" s="71"/>
      <c r="GL94" s="71"/>
      <c r="GM94" s="71"/>
      <c r="GN94" s="71"/>
      <c r="GO94" s="71"/>
      <c r="GP94" s="71"/>
      <c r="GQ94" s="71"/>
      <c r="GR94" s="71"/>
      <c r="GS94" s="71"/>
      <c r="GT94" s="71"/>
      <c r="GU94" s="71"/>
      <c r="GV94" s="71"/>
      <c r="GW94" s="71"/>
      <c r="GX94" s="71"/>
      <c r="GY94" s="71"/>
      <c r="GZ94" s="71"/>
      <c r="HA94" s="71"/>
      <c r="HB94" s="71"/>
      <c r="HC94" s="71"/>
      <c r="HD94" s="71"/>
      <c r="HM94" s="83">
        <v>109.2436</v>
      </c>
      <c r="HN94" s="73" t="str">
        <f>mehrsprachigkeitBegriffsrückgabe(gewählteSpracheZurückgeben(), "Fixed price")</f>
        <v>Anpassung mit fixem Preis</v>
      </c>
      <c r="HW94" s="83">
        <v>109.2436</v>
      </c>
      <c r="HX94" s="73" t="str">
        <f>mehrsprachigkeitBegriffsrückgabe(gewählteSpracheZurückgeben(), "Fixed price")</f>
        <v>Anpassung mit fixem Preis</v>
      </c>
      <c r="HY94" s="77">
        <v>1</v>
      </c>
      <c r="KT94" s="74">
        <v>0</v>
      </c>
      <c r="KU94" s="73" t="str">
        <f>mehrsprachigkeitBegriffsrückgabe(gewählteSpracheZurückgeben(), "Percent")</f>
        <v>Prozentuale Anpassung</v>
      </c>
      <c r="KX94" s="75">
        <v>0</v>
      </c>
      <c r="LH94" s="72" t="s">
        <v>767</v>
      </c>
      <c r="LI94" s="72" t="s">
        <v>744</v>
      </c>
    </row>
    <row r="95" spans="1:321" ht="15.95" customHeight="1" x14ac:dyDescent="0.25">
      <c r="B95" s="162"/>
      <c r="C95" s="162"/>
      <c r="D95" s="162"/>
      <c r="F95" s="71" t="str">
        <f>mehrsprachigkeitBegriffsrückgabe(gewählteSpracheZurückgeben(), "Variant (foreign language)")</f>
        <v>Variante (Fremdsprache)</v>
      </c>
      <c r="H95" s="72" t="s">
        <v>886</v>
      </c>
      <c r="I95" s="72" t="s">
        <v>94</v>
      </c>
      <c r="BA95" s="147"/>
      <c r="BF95" s="147"/>
      <c r="BG95" s="83"/>
      <c r="BH95" s="73"/>
      <c r="BI95" s="147"/>
      <c r="BJ95" s="77"/>
      <c r="BK95" s="73"/>
      <c r="BL95" s="73"/>
      <c r="BM95" s="77"/>
      <c r="BN95" s="73"/>
      <c r="BO95" s="73"/>
      <c r="BP95" s="147"/>
      <c r="BQ95" s="83"/>
      <c r="BR95" s="73"/>
      <c r="BS95" s="77"/>
      <c r="BT95" s="147"/>
      <c r="BU95" s="77"/>
      <c r="BV95" s="77"/>
      <c r="BW95" s="83"/>
      <c r="BX95" s="73"/>
      <c r="BY95" s="77"/>
      <c r="BZ95" s="73"/>
      <c r="CA95" s="73"/>
      <c r="CB95" s="77"/>
      <c r="CC95" s="73"/>
      <c r="CD95" s="73"/>
      <c r="CE95" s="83"/>
      <c r="CF95" s="73"/>
      <c r="CG95" s="77"/>
      <c r="CH95" s="147"/>
      <c r="CI95" s="77"/>
      <c r="CJ95" s="77"/>
      <c r="CK95" s="83"/>
      <c r="CL95" s="73"/>
      <c r="CM95" s="77"/>
      <c r="CN95" s="73"/>
      <c r="CO95" s="73"/>
      <c r="CP95" s="77"/>
      <c r="CQ95" s="73"/>
      <c r="CR95" s="73"/>
      <c r="CS95" s="83"/>
      <c r="CT95" s="73"/>
      <c r="CU95" s="77"/>
      <c r="CV95" s="147"/>
      <c r="CW95" s="77"/>
      <c r="CX95" s="77"/>
      <c r="CY95" s="83"/>
      <c r="CZ95" s="73"/>
      <c r="DA95" s="77"/>
      <c r="DB95" s="73"/>
      <c r="DC95" s="73"/>
      <c r="DD95" s="77"/>
      <c r="DE95" s="73"/>
      <c r="DF95" s="73"/>
      <c r="DG95" s="83"/>
      <c r="DH95" s="73"/>
      <c r="DI95" s="77"/>
      <c r="DJ95" s="147"/>
      <c r="DK95" s="77"/>
      <c r="DL95" s="77"/>
      <c r="DM95" s="83"/>
      <c r="DN95" s="73"/>
      <c r="DO95" s="77"/>
      <c r="DP95" s="73"/>
      <c r="DQ95" s="73"/>
      <c r="DR95" s="77"/>
      <c r="DS95" s="73"/>
      <c r="DT95" s="73"/>
      <c r="DU95" s="83"/>
      <c r="DV95" s="73"/>
      <c r="DW95" s="77"/>
      <c r="DX95" s="147"/>
      <c r="DY95" s="77"/>
      <c r="DZ95" s="77"/>
      <c r="EA95" s="83"/>
      <c r="EB95" s="73"/>
      <c r="EC95" s="77"/>
      <c r="ED95" s="73"/>
      <c r="EE95" s="73"/>
      <c r="EF95" s="77"/>
      <c r="EG95" s="73"/>
      <c r="EH95" s="73"/>
      <c r="EI95" s="83"/>
      <c r="EJ95" s="73"/>
      <c r="EK95" s="77"/>
      <c r="EL95" s="147"/>
      <c r="EN95" s="74"/>
      <c r="EO95" s="73"/>
      <c r="ER95" s="75"/>
      <c r="ES95" s="76"/>
      <c r="ET95" s="77"/>
      <c r="EU95" s="77"/>
      <c r="EV95" s="78"/>
      <c r="FA95" s="172"/>
      <c r="FB95" s="163"/>
      <c r="FC95" s="172"/>
      <c r="FH95" s="147"/>
      <c r="FL95" s="71"/>
      <c r="FM95" s="71"/>
      <c r="FN95" s="71"/>
      <c r="FO95" s="71"/>
      <c r="FP95" s="71"/>
      <c r="FQ95" s="71"/>
      <c r="FR95" s="71"/>
      <c r="FS95" s="147"/>
      <c r="FW95" s="71"/>
      <c r="FX95" s="71"/>
      <c r="FY95" s="71"/>
      <c r="FZ95" s="71"/>
      <c r="GA95" s="71"/>
      <c r="GB95" s="71"/>
      <c r="GC95" s="71"/>
      <c r="GD95" s="71"/>
      <c r="GE95" s="71"/>
      <c r="GF95" s="71"/>
      <c r="GG95" s="71"/>
      <c r="GH95" s="71"/>
      <c r="GI95" s="71"/>
      <c r="GJ95" s="71"/>
      <c r="GK95" s="71"/>
      <c r="GL95" s="71"/>
      <c r="GM95" s="71"/>
      <c r="GN95" s="71"/>
      <c r="GO95" s="71"/>
      <c r="GP95" s="71"/>
      <c r="GQ95" s="71"/>
      <c r="GR95" s="71"/>
      <c r="GS95" s="71"/>
      <c r="GT95" s="71"/>
      <c r="GU95" s="71"/>
      <c r="GV95" s="71"/>
      <c r="GW95" s="71"/>
      <c r="GX95" s="71"/>
      <c r="GY95" s="71"/>
      <c r="GZ95" s="71"/>
      <c r="HA95" s="71"/>
      <c r="HB95" s="71"/>
      <c r="HC95" s="71"/>
      <c r="HD95" s="71"/>
    </row>
    <row r="96" spans="1:321" ht="15.95" customHeight="1" x14ac:dyDescent="0.25">
      <c r="A96" s="71">
        <v>3840</v>
      </c>
      <c r="B96" s="162"/>
      <c r="C96" s="162"/>
      <c r="D96" s="162">
        <v>1</v>
      </c>
      <c r="F96" s="71" t="str">
        <f>mehrsprachigkeitBegriffsrückgabe(gewählteSpracheZurückgeben(), "Variant")</f>
        <v>Variante</v>
      </c>
      <c r="G96" s="72" t="s">
        <v>888</v>
      </c>
      <c r="H96" s="72" t="s">
        <v>826</v>
      </c>
      <c r="I96" s="72" t="s">
        <v>86</v>
      </c>
      <c r="K96" s="72" t="s">
        <v>889</v>
      </c>
      <c r="M96" s="150" t="s">
        <v>700</v>
      </c>
      <c r="N96" s="72" t="s">
        <v>718</v>
      </c>
      <c r="O96" s="72" t="s">
        <v>699</v>
      </c>
      <c r="P96" s="72" t="s">
        <v>709</v>
      </c>
      <c r="Q96" s="72" t="s">
        <v>702</v>
      </c>
      <c r="R96" s="72" t="s">
        <v>730</v>
      </c>
      <c r="S96" s="72" t="s">
        <v>701</v>
      </c>
      <c r="T96" s="72" t="s">
        <v>722</v>
      </c>
      <c r="BA96" s="147"/>
      <c r="BF96" s="147"/>
      <c r="BG96" s="83"/>
      <c r="BH96" s="73"/>
      <c r="BI96" s="147"/>
      <c r="BJ96" s="77"/>
      <c r="BK96" s="73"/>
      <c r="BL96" s="73"/>
      <c r="BM96" s="77"/>
      <c r="BN96" s="73"/>
      <c r="BO96" s="73"/>
      <c r="BP96" s="147"/>
      <c r="BQ96" s="83"/>
      <c r="BR96" s="73"/>
      <c r="BS96" s="77"/>
      <c r="BT96" s="147"/>
      <c r="BU96" s="77"/>
      <c r="BV96" s="77"/>
      <c r="BW96" s="83"/>
      <c r="BX96" s="73"/>
      <c r="BY96" s="77"/>
      <c r="BZ96" s="73"/>
      <c r="CA96" s="73"/>
      <c r="CB96" s="77"/>
      <c r="CC96" s="73"/>
      <c r="CD96" s="73"/>
      <c r="CE96" s="83"/>
      <c r="CF96" s="73"/>
      <c r="CG96" s="77"/>
      <c r="CH96" s="147"/>
      <c r="CI96" s="77"/>
      <c r="CJ96" s="77"/>
      <c r="CK96" s="83"/>
      <c r="CL96" s="73"/>
      <c r="CM96" s="77"/>
      <c r="CN96" s="73"/>
      <c r="CO96" s="73"/>
      <c r="CP96" s="77"/>
      <c r="CQ96" s="73"/>
      <c r="CR96" s="73"/>
      <c r="CS96" s="83"/>
      <c r="CT96" s="73"/>
      <c r="CU96" s="77"/>
      <c r="CV96" s="147"/>
      <c r="CW96" s="77"/>
      <c r="CX96" s="77"/>
      <c r="CY96" s="83"/>
      <c r="CZ96" s="73"/>
      <c r="DA96" s="77"/>
      <c r="DB96" s="73"/>
      <c r="DC96" s="73"/>
      <c r="DD96" s="77"/>
      <c r="DE96" s="73"/>
      <c r="DF96" s="73"/>
      <c r="DG96" s="83"/>
      <c r="DH96" s="73"/>
      <c r="DI96" s="77"/>
      <c r="DJ96" s="147"/>
      <c r="DK96" s="77"/>
      <c r="DL96" s="77"/>
      <c r="DM96" s="83"/>
      <c r="DN96" s="73"/>
      <c r="DO96" s="77"/>
      <c r="DP96" s="73"/>
      <c r="DQ96" s="73"/>
      <c r="DR96" s="77"/>
      <c r="DS96" s="73"/>
      <c r="DT96" s="73"/>
      <c r="DU96" s="83"/>
      <c r="DV96" s="73"/>
      <c r="DW96" s="77"/>
      <c r="DX96" s="147"/>
      <c r="DY96" s="77"/>
      <c r="DZ96" s="77"/>
      <c r="EA96" s="83"/>
      <c r="EB96" s="73"/>
      <c r="EC96" s="77"/>
      <c r="ED96" s="73"/>
      <c r="EE96" s="73"/>
      <c r="EF96" s="77"/>
      <c r="EG96" s="73"/>
      <c r="EH96" s="73"/>
      <c r="EI96" s="83"/>
      <c r="EJ96" s="73"/>
      <c r="EK96" s="77"/>
      <c r="EL96" s="147"/>
      <c r="EN96" s="74"/>
      <c r="EO96" s="73"/>
      <c r="ER96" s="75"/>
      <c r="ES96" s="76"/>
      <c r="ET96" s="77"/>
      <c r="EU96" s="77"/>
      <c r="EV96" s="78"/>
      <c r="FA96" s="172"/>
      <c r="FB96" s="163"/>
      <c r="FC96" s="172"/>
      <c r="FH96" s="147"/>
      <c r="FL96" s="71"/>
      <c r="FM96" s="71"/>
      <c r="FN96" s="71"/>
      <c r="FO96" s="71"/>
      <c r="FP96" s="71"/>
      <c r="FQ96" s="71"/>
      <c r="FR96" s="71"/>
      <c r="FS96" s="147"/>
      <c r="FW96" s="71"/>
      <c r="FX96" s="71"/>
      <c r="FY96" s="71"/>
      <c r="FZ96" s="71"/>
      <c r="GA96" s="71"/>
      <c r="GB96" s="71"/>
      <c r="GC96" s="71"/>
      <c r="GD96" s="71"/>
      <c r="GE96" s="71"/>
      <c r="GF96" s="71"/>
      <c r="GG96" s="71"/>
      <c r="GH96" s="71"/>
      <c r="GI96" s="71"/>
      <c r="GJ96" s="71"/>
      <c r="GK96" s="71"/>
      <c r="GL96" s="71"/>
      <c r="GM96" s="71"/>
      <c r="GN96" s="71"/>
      <c r="GO96" s="71"/>
      <c r="GP96" s="71"/>
      <c r="GQ96" s="71"/>
      <c r="GR96" s="71"/>
      <c r="GS96" s="71"/>
      <c r="GT96" s="71"/>
      <c r="GU96" s="71"/>
      <c r="GV96" s="71"/>
      <c r="GW96" s="71"/>
      <c r="GX96" s="71"/>
      <c r="GY96" s="71"/>
      <c r="GZ96" s="71"/>
      <c r="HA96" s="71"/>
      <c r="HB96" s="71"/>
      <c r="HC96" s="71"/>
      <c r="HD96" s="71"/>
      <c r="HM96" s="83">
        <v>109.2436</v>
      </c>
      <c r="HN96" s="73" t="str">
        <f>mehrsprachigkeitBegriffsrückgabe(gewählteSpracheZurückgeben(), "Fixed price")</f>
        <v>Anpassung mit fixem Preis</v>
      </c>
      <c r="HW96" s="83">
        <v>109.2436</v>
      </c>
      <c r="HX96" s="73" t="str">
        <f>mehrsprachigkeitBegriffsrückgabe(gewählteSpracheZurückgeben(), "Fixed price")</f>
        <v>Anpassung mit fixem Preis</v>
      </c>
      <c r="HY96" s="77">
        <v>1</v>
      </c>
      <c r="KT96" s="74">
        <v>0</v>
      </c>
      <c r="KU96" s="73" t="str">
        <f>mehrsprachigkeitBegriffsrückgabe(gewählteSpracheZurückgeben(), "Percent")</f>
        <v>Prozentuale Anpassung</v>
      </c>
      <c r="KX96" s="75">
        <v>0</v>
      </c>
      <c r="LH96" s="72" t="s">
        <v>767</v>
      </c>
      <c r="LI96" s="72" t="s">
        <v>744</v>
      </c>
    </row>
    <row r="97" spans="1:321" ht="15.95" customHeight="1" x14ac:dyDescent="0.25">
      <c r="B97" s="162"/>
      <c r="C97" s="162"/>
      <c r="D97" s="162"/>
      <c r="F97" s="71" t="str">
        <f>mehrsprachigkeitBegriffsrückgabe(gewählteSpracheZurückgeben(), "Variant (foreign language)")</f>
        <v>Variante (Fremdsprache)</v>
      </c>
      <c r="H97" s="72" t="s">
        <v>888</v>
      </c>
      <c r="I97" s="72" t="s">
        <v>94</v>
      </c>
      <c r="BA97" s="147"/>
      <c r="BF97" s="147"/>
      <c r="BG97" s="83"/>
      <c r="BH97" s="73"/>
      <c r="BI97" s="147"/>
      <c r="BJ97" s="77"/>
      <c r="BK97" s="73"/>
      <c r="BL97" s="73"/>
      <c r="BM97" s="77"/>
      <c r="BN97" s="73"/>
      <c r="BO97" s="73"/>
      <c r="BP97" s="147"/>
      <c r="BQ97" s="83"/>
      <c r="BR97" s="73"/>
      <c r="BS97" s="77"/>
      <c r="BT97" s="147"/>
      <c r="BU97" s="77"/>
      <c r="BV97" s="77"/>
      <c r="BW97" s="83"/>
      <c r="BX97" s="73"/>
      <c r="BY97" s="77"/>
      <c r="BZ97" s="73"/>
      <c r="CA97" s="73"/>
      <c r="CB97" s="77"/>
      <c r="CC97" s="73"/>
      <c r="CD97" s="73"/>
      <c r="CE97" s="83"/>
      <c r="CF97" s="73"/>
      <c r="CG97" s="77"/>
      <c r="CH97" s="147"/>
      <c r="CI97" s="77"/>
      <c r="CJ97" s="77"/>
      <c r="CK97" s="83"/>
      <c r="CL97" s="73"/>
      <c r="CM97" s="77"/>
      <c r="CN97" s="73"/>
      <c r="CO97" s="73"/>
      <c r="CP97" s="77"/>
      <c r="CQ97" s="73"/>
      <c r="CR97" s="73"/>
      <c r="CS97" s="83"/>
      <c r="CT97" s="73"/>
      <c r="CU97" s="77"/>
      <c r="CV97" s="147"/>
      <c r="CW97" s="77"/>
      <c r="CX97" s="77"/>
      <c r="CY97" s="83"/>
      <c r="CZ97" s="73"/>
      <c r="DA97" s="77"/>
      <c r="DB97" s="73"/>
      <c r="DC97" s="73"/>
      <c r="DD97" s="77"/>
      <c r="DE97" s="73"/>
      <c r="DF97" s="73"/>
      <c r="DG97" s="83"/>
      <c r="DH97" s="73"/>
      <c r="DI97" s="77"/>
      <c r="DJ97" s="147"/>
      <c r="DK97" s="77"/>
      <c r="DL97" s="77"/>
      <c r="DM97" s="83"/>
      <c r="DN97" s="73"/>
      <c r="DO97" s="77"/>
      <c r="DP97" s="73"/>
      <c r="DQ97" s="73"/>
      <c r="DR97" s="77"/>
      <c r="DS97" s="73"/>
      <c r="DT97" s="73"/>
      <c r="DU97" s="83"/>
      <c r="DV97" s="73"/>
      <c r="DW97" s="77"/>
      <c r="DX97" s="147"/>
      <c r="DY97" s="77"/>
      <c r="DZ97" s="77"/>
      <c r="EA97" s="83"/>
      <c r="EB97" s="73"/>
      <c r="EC97" s="77"/>
      <c r="ED97" s="73"/>
      <c r="EE97" s="73"/>
      <c r="EF97" s="77"/>
      <c r="EG97" s="73"/>
      <c r="EH97" s="73"/>
      <c r="EI97" s="83"/>
      <c r="EJ97" s="73"/>
      <c r="EK97" s="77"/>
      <c r="EL97" s="147"/>
      <c r="EN97" s="74"/>
      <c r="EO97" s="73"/>
      <c r="ER97" s="75"/>
      <c r="ES97" s="76"/>
      <c r="ET97" s="77"/>
      <c r="EU97" s="77"/>
      <c r="EV97" s="78"/>
      <c r="FA97" s="172"/>
      <c r="FB97" s="163"/>
      <c r="FC97" s="172"/>
      <c r="FH97" s="147"/>
      <c r="FL97" s="71"/>
      <c r="FM97" s="71"/>
      <c r="FN97" s="71"/>
      <c r="FO97" s="71"/>
      <c r="FP97" s="71"/>
      <c r="FQ97" s="71"/>
      <c r="FR97" s="71"/>
      <c r="FS97" s="147"/>
      <c r="FW97" s="71"/>
      <c r="FX97" s="71"/>
      <c r="FY97" s="71"/>
      <c r="FZ97" s="71"/>
      <c r="GA97" s="71"/>
      <c r="GB97" s="71"/>
      <c r="GC97" s="71"/>
      <c r="GD97" s="71"/>
      <c r="GE97" s="71"/>
      <c r="GF97" s="71"/>
      <c r="GG97" s="71"/>
      <c r="GH97" s="71"/>
      <c r="GI97" s="71"/>
      <c r="GJ97" s="71"/>
      <c r="GK97" s="71"/>
      <c r="GL97" s="71"/>
      <c r="GM97" s="71"/>
      <c r="GN97" s="71"/>
      <c r="GO97" s="71"/>
      <c r="GP97" s="71"/>
      <c r="GQ97" s="71"/>
      <c r="GR97" s="71"/>
      <c r="GS97" s="71"/>
      <c r="GT97" s="71"/>
      <c r="GU97" s="71"/>
      <c r="GV97" s="71"/>
      <c r="GW97" s="71"/>
      <c r="GX97" s="71"/>
      <c r="GY97" s="71"/>
      <c r="GZ97" s="71"/>
      <c r="HA97" s="71"/>
      <c r="HB97" s="71"/>
      <c r="HC97" s="71"/>
      <c r="HD97" s="71"/>
    </row>
    <row r="98" spans="1:321" ht="15.95" customHeight="1" x14ac:dyDescent="0.25">
      <c r="A98" s="71">
        <v>3968</v>
      </c>
      <c r="B98" s="162"/>
      <c r="C98" s="162"/>
      <c r="D98" s="162">
        <v>1</v>
      </c>
      <c r="F98" s="71" t="str">
        <f>mehrsprachigkeitBegriffsrückgabe(gewählteSpracheZurückgeben(), "Variant")</f>
        <v>Variante</v>
      </c>
      <c r="G98" s="72" t="s">
        <v>890</v>
      </c>
      <c r="H98" s="72" t="s">
        <v>826</v>
      </c>
      <c r="I98" s="72" t="s">
        <v>86</v>
      </c>
      <c r="K98" s="72" t="s">
        <v>891</v>
      </c>
      <c r="M98" s="150" t="s">
        <v>700</v>
      </c>
      <c r="N98" s="72" t="s">
        <v>713</v>
      </c>
      <c r="O98" s="72" t="s">
        <v>699</v>
      </c>
      <c r="P98" s="72" t="s">
        <v>710</v>
      </c>
      <c r="Q98" s="72" t="s">
        <v>702</v>
      </c>
      <c r="R98" s="72" t="s">
        <v>730</v>
      </c>
      <c r="S98" s="72" t="s">
        <v>701</v>
      </c>
      <c r="T98" s="72" t="s">
        <v>722</v>
      </c>
      <c r="BA98" s="147"/>
      <c r="BF98" s="147"/>
      <c r="BG98" s="83"/>
      <c r="BH98" s="73"/>
      <c r="BI98" s="147"/>
      <c r="BJ98" s="77"/>
      <c r="BK98" s="73"/>
      <c r="BL98" s="73"/>
      <c r="BM98" s="77"/>
      <c r="BN98" s="73"/>
      <c r="BO98" s="73"/>
      <c r="BP98" s="147"/>
      <c r="BQ98" s="83"/>
      <c r="BR98" s="73"/>
      <c r="BS98" s="77"/>
      <c r="BT98" s="147"/>
      <c r="BU98" s="77"/>
      <c r="BV98" s="77"/>
      <c r="BW98" s="83"/>
      <c r="BX98" s="73"/>
      <c r="BY98" s="77"/>
      <c r="BZ98" s="73"/>
      <c r="CA98" s="73"/>
      <c r="CB98" s="77"/>
      <c r="CC98" s="73"/>
      <c r="CD98" s="73"/>
      <c r="CE98" s="83"/>
      <c r="CF98" s="73"/>
      <c r="CG98" s="77"/>
      <c r="CH98" s="147"/>
      <c r="CI98" s="77"/>
      <c r="CJ98" s="77"/>
      <c r="CK98" s="83"/>
      <c r="CL98" s="73"/>
      <c r="CM98" s="77"/>
      <c r="CN98" s="73"/>
      <c r="CO98" s="73"/>
      <c r="CP98" s="77"/>
      <c r="CQ98" s="73"/>
      <c r="CR98" s="73"/>
      <c r="CS98" s="83"/>
      <c r="CT98" s="73"/>
      <c r="CU98" s="77"/>
      <c r="CV98" s="147"/>
      <c r="CW98" s="77"/>
      <c r="CX98" s="77"/>
      <c r="CY98" s="83"/>
      <c r="CZ98" s="73"/>
      <c r="DA98" s="77"/>
      <c r="DB98" s="73"/>
      <c r="DC98" s="73"/>
      <c r="DD98" s="77"/>
      <c r="DE98" s="73"/>
      <c r="DF98" s="73"/>
      <c r="DG98" s="83"/>
      <c r="DH98" s="73"/>
      <c r="DI98" s="77"/>
      <c r="DJ98" s="147"/>
      <c r="DK98" s="77"/>
      <c r="DL98" s="77"/>
      <c r="DM98" s="83"/>
      <c r="DN98" s="73"/>
      <c r="DO98" s="77"/>
      <c r="DP98" s="73"/>
      <c r="DQ98" s="73"/>
      <c r="DR98" s="77"/>
      <c r="DS98" s="73"/>
      <c r="DT98" s="73"/>
      <c r="DU98" s="83"/>
      <c r="DV98" s="73"/>
      <c r="DW98" s="77"/>
      <c r="DX98" s="147"/>
      <c r="DY98" s="77"/>
      <c r="DZ98" s="77"/>
      <c r="EA98" s="83"/>
      <c r="EB98" s="73"/>
      <c r="EC98" s="77"/>
      <c r="ED98" s="73"/>
      <c r="EE98" s="73"/>
      <c r="EF98" s="77"/>
      <c r="EG98" s="73"/>
      <c r="EH98" s="73"/>
      <c r="EI98" s="83"/>
      <c r="EJ98" s="73"/>
      <c r="EK98" s="77"/>
      <c r="EL98" s="147"/>
      <c r="EN98" s="74"/>
      <c r="EO98" s="73"/>
      <c r="ER98" s="75"/>
      <c r="ES98" s="76"/>
      <c r="ET98" s="77"/>
      <c r="EU98" s="77"/>
      <c r="EV98" s="78"/>
      <c r="FA98" s="172"/>
      <c r="FB98" s="163"/>
      <c r="FC98" s="172"/>
      <c r="FH98" s="147"/>
      <c r="FL98" s="71"/>
      <c r="FM98" s="71"/>
      <c r="FN98" s="71"/>
      <c r="FO98" s="71"/>
      <c r="FP98" s="71"/>
      <c r="FQ98" s="71"/>
      <c r="FR98" s="71"/>
      <c r="FS98" s="147"/>
      <c r="FW98" s="71"/>
      <c r="FX98" s="71"/>
      <c r="FY98" s="71"/>
      <c r="FZ98" s="71"/>
      <c r="GA98" s="71"/>
      <c r="GB98" s="71"/>
      <c r="GC98" s="71"/>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M98" s="83">
        <v>109.2436</v>
      </c>
      <c r="HN98" s="73" t="str">
        <f>mehrsprachigkeitBegriffsrückgabe(gewählteSpracheZurückgeben(), "Fixed price")</f>
        <v>Anpassung mit fixem Preis</v>
      </c>
      <c r="HW98" s="83">
        <v>109.2436</v>
      </c>
      <c r="HX98" s="73" t="str">
        <f>mehrsprachigkeitBegriffsrückgabe(gewählteSpracheZurückgeben(), "Fixed price")</f>
        <v>Anpassung mit fixem Preis</v>
      </c>
      <c r="HY98" s="77">
        <v>1</v>
      </c>
      <c r="KT98" s="74">
        <v>0</v>
      </c>
      <c r="KU98" s="73" t="str">
        <f>mehrsprachigkeitBegriffsrückgabe(gewählteSpracheZurückgeben(), "Percent")</f>
        <v>Prozentuale Anpassung</v>
      </c>
      <c r="KX98" s="75">
        <v>0</v>
      </c>
      <c r="LH98" s="72" t="s">
        <v>767</v>
      </c>
      <c r="LI98" s="72" t="s">
        <v>744</v>
      </c>
    </row>
    <row r="99" spans="1:321" ht="15.95" customHeight="1" x14ac:dyDescent="0.25">
      <c r="B99" s="162"/>
      <c r="C99" s="162"/>
      <c r="D99" s="162"/>
      <c r="F99" s="71" t="str">
        <f>mehrsprachigkeitBegriffsrückgabe(gewählteSpracheZurückgeben(), "Variant (foreign language)")</f>
        <v>Variante (Fremdsprache)</v>
      </c>
      <c r="H99" s="72" t="s">
        <v>890</v>
      </c>
      <c r="I99" s="72" t="s">
        <v>94</v>
      </c>
      <c r="BA99" s="147"/>
      <c r="BF99" s="147"/>
      <c r="BG99" s="83"/>
      <c r="BH99" s="73"/>
      <c r="BI99" s="147"/>
      <c r="BJ99" s="77"/>
      <c r="BK99" s="73"/>
      <c r="BL99" s="73"/>
      <c r="BM99" s="77"/>
      <c r="BN99" s="73"/>
      <c r="BO99" s="73"/>
      <c r="BP99" s="147"/>
      <c r="BQ99" s="83"/>
      <c r="BR99" s="73"/>
      <c r="BS99" s="77"/>
      <c r="BT99" s="147"/>
      <c r="BU99" s="77"/>
      <c r="BV99" s="77"/>
      <c r="BW99" s="83"/>
      <c r="BX99" s="73"/>
      <c r="BY99" s="77"/>
      <c r="BZ99" s="73"/>
      <c r="CA99" s="73"/>
      <c r="CB99" s="77"/>
      <c r="CC99" s="73"/>
      <c r="CD99" s="73"/>
      <c r="CE99" s="83"/>
      <c r="CF99" s="73"/>
      <c r="CG99" s="77"/>
      <c r="CH99" s="147"/>
      <c r="CI99" s="77"/>
      <c r="CJ99" s="77"/>
      <c r="CK99" s="83"/>
      <c r="CL99" s="73"/>
      <c r="CM99" s="77"/>
      <c r="CN99" s="73"/>
      <c r="CO99" s="73"/>
      <c r="CP99" s="77"/>
      <c r="CQ99" s="73"/>
      <c r="CR99" s="73"/>
      <c r="CS99" s="83"/>
      <c r="CT99" s="73"/>
      <c r="CU99" s="77"/>
      <c r="CV99" s="147"/>
      <c r="CW99" s="77"/>
      <c r="CX99" s="77"/>
      <c r="CY99" s="83"/>
      <c r="CZ99" s="73"/>
      <c r="DA99" s="77"/>
      <c r="DB99" s="73"/>
      <c r="DC99" s="73"/>
      <c r="DD99" s="77"/>
      <c r="DE99" s="73"/>
      <c r="DF99" s="73"/>
      <c r="DG99" s="83"/>
      <c r="DH99" s="73"/>
      <c r="DI99" s="77"/>
      <c r="DJ99" s="147"/>
      <c r="DK99" s="77"/>
      <c r="DL99" s="77"/>
      <c r="DM99" s="83"/>
      <c r="DN99" s="73"/>
      <c r="DO99" s="77"/>
      <c r="DP99" s="73"/>
      <c r="DQ99" s="73"/>
      <c r="DR99" s="77"/>
      <c r="DS99" s="73"/>
      <c r="DT99" s="73"/>
      <c r="DU99" s="83"/>
      <c r="DV99" s="73"/>
      <c r="DW99" s="77"/>
      <c r="DX99" s="147"/>
      <c r="DY99" s="77"/>
      <c r="DZ99" s="77"/>
      <c r="EA99" s="83"/>
      <c r="EB99" s="73"/>
      <c r="EC99" s="77"/>
      <c r="ED99" s="73"/>
      <c r="EE99" s="73"/>
      <c r="EF99" s="77"/>
      <c r="EG99" s="73"/>
      <c r="EH99" s="73"/>
      <c r="EI99" s="83"/>
      <c r="EJ99" s="73"/>
      <c r="EK99" s="77"/>
      <c r="EL99" s="147"/>
      <c r="EN99" s="74"/>
      <c r="EO99" s="73"/>
      <c r="ER99" s="75"/>
      <c r="ES99" s="76"/>
      <c r="ET99" s="77"/>
      <c r="EU99" s="77"/>
      <c r="EV99" s="78"/>
      <c r="FA99" s="172"/>
      <c r="FB99" s="163"/>
      <c r="FC99" s="172"/>
      <c r="FH99" s="147"/>
      <c r="FL99" s="71"/>
      <c r="FM99" s="71"/>
      <c r="FN99" s="71"/>
      <c r="FO99" s="71"/>
      <c r="FP99" s="71"/>
      <c r="FQ99" s="71"/>
      <c r="FR99" s="71"/>
      <c r="FS99" s="147"/>
      <c r="FW99" s="71"/>
      <c r="FX99" s="71"/>
      <c r="FY99" s="71"/>
      <c r="FZ99" s="71"/>
      <c r="GA99" s="71"/>
      <c r="GB99" s="71"/>
      <c r="GC99" s="71"/>
      <c r="GD99" s="71"/>
      <c r="GE99" s="71"/>
      <c r="GF99" s="71"/>
      <c r="GG99" s="71"/>
      <c r="GH99" s="71"/>
      <c r="GI99" s="71"/>
      <c r="GJ99" s="71"/>
      <c r="GK99" s="71"/>
      <c r="GL99" s="71"/>
      <c r="GM99" s="71"/>
      <c r="GN99" s="71"/>
      <c r="GO99" s="71"/>
      <c r="GP99" s="71"/>
      <c r="GQ99" s="71"/>
      <c r="GR99" s="71"/>
      <c r="GS99" s="71"/>
      <c r="GT99" s="71"/>
      <c r="GU99" s="71"/>
      <c r="GV99" s="71"/>
      <c r="GW99" s="71"/>
      <c r="GX99" s="71"/>
      <c r="GY99" s="71"/>
      <c r="GZ99" s="71"/>
      <c r="HA99" s="71"/>
      <c r="HB99" s="71"/>
      <c r="HC99" s="71"/>
      <c r="HD99" s="71"/>
    </row>
    <row r="100" spans="1:321" ht="15.95" customHeight="1" x14ac:dyDescent="0.25">
      <c r="A100" s="71">
        <v>4096</v>
      </c>
      <c r="B100" s="162"/>
      <c r="C100" s="162"/>
      <c r="D100" s="162">
        <v>1</v>
      </c>
      <c r="F100" s="71" t="str">
        <f>mehrsprachigkeitBegriffsrückgabe(gewählteSpracheZurückgeben(), "Variant")</f>
        <v>Variante</v>
      </c>
      <c r="G100" s="72" t="s">
        <v>892</v>
      </c>
      <c r="H100" s="72" t="s">
        <v>826</v>
      </c>
      <c r="I100" s="72" t="s">
        <v>86</v>
      </c>
      <c r="K100" s="72" t="s">
        <v>893</v>
      </c>
      <c r="M100" s="150" t="s">
        <v>700</v>
      </c>
      <c r="N100" s="72" t="s">
        <v>713</v>
      </c>
      <c r="O100" s="72" t="s">
        <v>699</v>
      </c>
      <c r="P100" s="72" t="s">
        <v>709</v>
      </c>
      <c r="Q100" s="72" t="s">
        <v>702</v>
      </c>
      <c r="R100" s="72" t="s">
        <v>730</v>
      </c>
      <c r="S100" s="72" t="s">
        <v>701</v>
      </c>
      <c r="T100" s="72" t="s">
        <v>722</v>
      </c>
      <c r="BA100" s="147"/>
      <c r="BF100" s="147"/>
      <c r="BG100" s="83"/>
      <c r="BH100" s="73"/>
      <c r="BI100" s="147"/>
      <c r="BJ100" s="77"/>
      <c r="BK100" s="73"/>
      <c r="BL100" s="73"/>
      <c r="BM100" s="77"/>
      <c r="BN100" s="73"/>
      <c r="BO100" s="73"/>
      <c r="BP100" s="147"/>
      <c r="BQ100" s="83"/>
      <c r="BR100" s="73"/>
      <c r="BS100" s="77"/>
      <c r="BT100" s="147"/>
      <c r="BU100" s="77"/>
      <c r="BV100" s="77"/>
      <c r="BW100" s="83"/>
      <c r="BX100" s="73"/>
      <c r="BY100" s="77"/>
      <c r="BZ100" s="73"/>
      <c r="CA100" s="73"/>
      <c r="CB100" s="77"/>
      <c r="CC100" s="73"/>
      <c r="CD100" s="73"/>
      <c r="CE100" s="83"/>
      <c r="CF100" s="73"/>
      <c r="CG100" s="77"/>
      <c r="CH100" s="147"/>
      <c r="CI100" s="77"/>
      <c r="CJ100" s="77"/>
      <c r="CK100" s="83"/>
      <c r="CL100" s="73"/>
      <c r="CM100" s="77"/>
      <c r="CN100" s="73"/>
      <c r="CO100" s="73"/>
      <c r="CP100" s="77"/>
      <c r="CQ100" s="73"/>
      <c r="CR100" s="73"/>
      <c r="CS100" s="83"/>
      <c r="CT100" s="73"/>
      <c r="CU100" s="77"/>
      <c r="CV100" s="147"/>
      <c r="CW100" s="77"/>
      <c r="CX100" s="77"/>
      <c r="CY100" s="83"/>
      <c r="CZ100" s="73"/>
      <c r="DA100" s="77"/>
      <c r="DB100" s="73"/>
      <c r="DC100" s="73"/>
      <c r="DD100" s="77"/>
      <c r="DE100" s="73"/>
      <c r="DF100" s="73"/>
      <c r="DG100" s="83"/>
      <c r="DH100" s="73"/>
      <c r="DI100" s="77"/>
      <c r="DJ100" s="147"/>
      <c r="DK100" s="77"/>
      <c r="DL100" s="77"/>
      <c r="DM100" s="83"/>
      <c r="DN100" s="73"/>
      <c r="DO100" s="77"/>
      <c r="DP100" s="73"/>
      <c r="DQ100" s="73"/>
      <c r="DR100" s="77"/>
      <c r="DS100" s="73"/>
      <c r="DT100" s="73"/>
      <c r="DU100" s="83"/>
      <c r="DV100" s="73"/>
      <c r="DW100" s="77"/>
      <c r="DX100" s="147"/>
      <c r="DY100" s="77"/>
      <c r="DZ100" s="77"/>
      <c r="EA100" s="83"/>
      <c r="EB100" s="73"/>
      <c r="EC100" s="77"/>
      <c r="ED100" s="73"/>
      <c r="EE100" s="73"/>
      <c r="EF100" s="77"/>
      <c r="EG100" s="73"/>
      <c r="EH100" s="73"/>
      <c r="EI100" s="83"/>
      <c r="EJ100" s="73"/>
      <c r="EK100" s="77"/>
      <c r="EL100" s="147"/>
      <c r="EN100" s="74"/>
      <c r="EO100" s="73"/>
      <c r="ER100" s="75"/>
      <c r="ES100" s="76"/>
      <c r="ET100" s="77"/>
      <c r="EU100" s="77"/>
      <c r="EV100" s="78"/>
      <c r="FA100" s="172"/>
      <c r="FB100" s="163"/>
      <c r="FC100" s="172"/>
      <c r="FH100" s="147"/>
      <c r="FL100" s="71"/>
      <c r="FM100" s="71"/>
      <c r="FN100" s="71"/>
      <c r="FO100" s="71"/>
      <c r="FP100" s="71"/>
      <c r="FQ100" s="71"/>
      <c r="FR100" s="71"/>
      <c r="FS100" s="147"/>
      <c r="FW100" s="71"/>
      <c r="FX100" s="71"/>
      <c r="FY100" s="71"/>
      <c r="FZ100" s="71"/>
      <c r="GA100" s="71"/>
      <c r="GB100" s="71"/>
      <c r="GC100" s="71"/>
      <c r="GD100" s="71"/>
      <c r="GE100" s="71"/>
      <c r="GF100" s="71"/>
      <c r="GG100" s="71"/>
      <c r="GH100" s="71"/>
      <c r="GI100" s="71"/>
      <c r="GJ100" s="71"/>
      <c r="GK100" s="71"/>
      <c r="GL100" s="71"/>
      <c r="GM100" s="71"/>
      <c r="GN100" s="71"/>
      <c r="GO100" s="71"/>
      <c r="GP100" s="71"/>
      <c r="GQ100" s="71"/>
      <c r="GR100" s="71"/>
      <c r="GS100" s="71"/>
      <c r="GT100" s="71"/>
      <c r="GU100" s="71"/>
      <c r="GV100" s="71"/>
      <c r="GW100" s="71"/>
      <c r="GX100" s="71"/>
      <c r="GY100" s="71"/>
      <c r="GZ100" s="71"/>
      <c r="HA100" s="71"/>
      <c r="HB100" s="71"/>
      <c r="HC100" s="71"/>
      <c r="HD100" s="71"/>
      <c r="HM100" s="83">
        <v>109.2436</v>
      </c>
      <c r="HN100" s="73" t="str">
        <f>mehrsprachigkeitBegriffsrückgabe(gewählteSpracheZurückgeben(), "Fixed price")</f>
        <v>Anpassung mit fixem Preis</v>
      </c>
      <c r="HW100" s="83">
        <v>109.2436</v>
      </c>
      <c r="HX100" s="73" t="str">
        <f>mehrsprachigkeitBegriffsrückgabe(gewählteSpracheZurückgeben(), "Fixed price")</f>
        <v>Anpassung mit fixem Preis</v>
      </c>
      <c r="HY100" s="77">
        <v>1</v>
      </c>
      <c r="KT100" s="74">
        <v>0</v>
      </c>
      <c r="KU100" s="73" t="str">
        <f>mehrsprachigkeitBegriffsrückgabe(gewählteSpracheZurückgeben(), "Percent")</f>
        <v>Prozentuale Anpassung</v>
      </c>
      <c r="KX100" s="75">
        <v>0</v>
      </c>
      <c r="LH100" s="72" t="s">
        <v>767</v>
      </c>
      <c r="LI100" s="72" t="s">
        <v>744</v>
      </c>
    </row>
    <row r="101" spans="1:321" ht="15.95" customHeight="1" x14ac:dyDescent="0.25">
      <c r="B101" s="162"/>
      <c r="C101" s="162"/>
      <c r="D101" s="162"/>
      <c r="F101" s="71" t="str">
        <f>mehrsprachigkeitBegriffsrückgabe(gewählteSpracheZurückgeben(), "Variant (foreign language)")</f>
        <v>Variante (Fremdsprache)</v>
      </c>
      <c r="H101" s="72" t="s">
        <v>892</v>
      </c>
      <c r="I101" s="72" t="s">
        <v>94</v>
      </c>
      <c r="BA101" s="147"/>
      <c r="BF101" s="147"/>
      <c r="BG101" s="83"/>
      <c r="BH101" s="73"/>
      <c r="BI101" s="147"/>
      <c r="BJ101" s="77"/>
      <c r="BK101" s="73"/>
      <c r="BL101" s="73"/>
      <c r="BM101" s="77"/>
      <c r="BN101" s="73"/>
      <c r="BO101" s="73"/>
      <c r="BP101" s="147"/>
      <c r="BQ101" s="83"/>
      <c r="BR101" s="73"/>
      <c r="BS101" s="77"/>
      <c r="BT101" s="147"/>
      <c r="BU101" s="77"/>
      <c r="BV101" s="77"/>
      <c r="BW101" s="83"/>
      <c r="BX101" s="73"/>
      <c r="BY101" s="77"/>
      <c r="BZ101" s="73"/>
      <c r="CA101" s="73"/>
      <c r="CB101" s="77"/>
      <c r="CC101" s="73"/>
      <c r="CD101" s="73"/>
      <c r="CE101" s="83"/>
      <c r="CF101" s="73"/>
      <c r="CG101" s="77"/>
      <c r="CH101" s="147"/>
      <c r="CI101" s="77"/>
      <c r="CJ101" s="77"/>
      <c r="CK101" s="83"/>
      <c r="CL101" s="73"/>
      <c r="CM101" s="77"/>
      <c r="CN101" s="73"/>
      <c r="CO101" s="73"/>
      <c r="CP101" s="77"/>
      <c r="CQ101" s="73"/>
      <c r="CR101" s="73"/>
      <c r="CS101" s="83"/>
      <c r="CT101" s="73"/>
      <c r="CU101" s="77"/>
      <c r="CV101" s="147"/>
      <c r="CW101" s="77"/>
      <c r="CX101" s="77"/>
      <c r="CY101" s="83"/>
      <c r="CZ101" s="73"/>
      <c r="DA101" s="77"/>
      <c r="DB101" s="73"/>
      <c r="DC101" s="73"/>
      <c r="DD101" s="77"/>
      <c r="DE101" s="73"/>
      <c r="DF101" s="73"/>
      <c r="DG101" s="83"/>
      <c r="DH101" s="73"/>
      <c r="DI101" s="77"/>
      <c r="DJ101" s="147"/>
      <c r="DK101" s="77"/>
      <c r="DL101" s="77"/>
      <c r="DM101" s="83"/>
      <c r="DN101" s="73"/>
      <c r="DO101" s="77"/>
      <c r="DP101" s="73"/>
      <c r="DQ101" s="73"/>
      <c r="DR101" s="77"/>
      <c r="DS101" s="73"/>
      <c r="DT101" s="73"/>
      <c r="DU101" s="83"/>
      <c r="DV101" s="73"/>
      <c r="DW101" s="77"/>
      <c r="DX101" s="147"/>
      <c r="DY101" s="77"/>
      <c r="DZ101" s="77"/>
      <c r="EA101" s="83"/>
      <c r="EB101" s="73"/>
      <c r="EC101" s="77"/>
      <c r="ED101" s="73"/>
      <c r="EE101" s="73"/>
      <c r="EF101" s="77"/>
      <c r="EG101" s="73"/>
      <c r="EH101" s="73"/>
      <c r="EI101" s="83"/>
      <c r="EJ101" s="73"/>
      <c r="EK101" s="77"/>
      <c r="EL101" s="147"/>
      <c r="EN101" s="74"/>
      <c r="EO101" s="73"/>
      <c r="ER101" s="75"/>
      <c r="ES101" s="76"/>
      <c r="ET101" s="77"/>
      <c r="EU101" s="77"/>
      <c r="EV101" s="78"/>
      <c r="FA101" s="172"/>
      <c r="FB101" s="163"/>
      <c r="FC101" s="172"/>
      <c r="FH101" s="147"/>
      <c r="FL101" s="71"/>
      <c r="FM101" s="71"/>
      <c r="FN101" s="71"/>
      <c r="FO101" s="71"/>
      <c r="FP101" s="71"/>
      <c r="FQ101" s="71"/>
      <c r="FR101" s="71"/>
      <c r="FS101" s="147"/>
      <c r="FW101" s="71"/>
      <c r="FX101" s="71"/>
      <c r="FY101" s="71"/>
      <c r="FZ101" s="71"/>
      <c r="GA101" s="71"/>
      <c r="GB101" s="71"/>
      <c r="GC101" s="71"/>
      <c r="GD101" s="71"/>
      <c r="GE101" s="71"/>
      <c r="GF101" s="71"/>
      <c r="GG101" s="71"/>
      <c r="GH101" s="71"/>
      <c r="GI101" s="71"/>
      <c r="GJ101" s="71"/>
      <c r="GK101" s="71"/>
      <c r="GL101" s="71"/>
      <c r="GM101" s="71"/>
      <c r="GN101" s="71"/>
      <c r="GO101" s="71"/>
      <c r="GP101" s="71"/>
      <c r="GQ101" s="71"/>
      <c r="GR101" s="71"/>
      <c r="GS101" s="71"/>
      <c r="GT101" s="71"/>
      <c r="GU101" s="71"/>
      <c r="GV101" s="71"/>
      <c r="GW101" s="71"/>
      <c r="GX101" s="71"/>
      <c r="GY101" s="71"/>
      <c r="GZ101" s="71"/>
      <c r="HA101" s="71"/>
      <c r="HB101" s="71"/>
      <c r="HC101" s="71"/>
      <c r="HD101" s="71"/>
    </row>
    <row r="102" spans="1:321" ht="15.95" customHeight="1" x14ac:dyDescent="0.25">
      <c r="A102" s="71">
        <v>4224</v>
      </c>
      <c r="B102" s="162"/>
      <c r="C102" s="162"/>
      <c r="D102" s="162">
        <v>1</v>
      </c>
      <c r="F102" s="71" t="str">
        <f>mehrsprachigkeitBegriffsrückgabe(gewählteSpracheZurückgeben(), "Variant")</f>
        <v>Variante</v>
      </c>
      <c r="G102" s="72" t="s">
        <v>894</v>
      </c>
      <c r="H102" s="72" t="s">
        <v>826</v>
      </c>
      <c r="I102" s="72" t="s">
        <v>86</v>
      </c>
      <c r="K102" s="72" t="s">
        <v>895</v>
      </c>
      <c r="M102" s="150" t="s">
        <v>700</v>
      </c>
      <c r="N102" s="72" t="s">
        <v>715</v>
      </c>
      <c r="O102" s="72" t="s">
        <v>699</v>
      </c>
      <c r="P102" s="72" t="s">
        <v>710</v>
      </c>
      <c r="Q102" s="72" t="s">
        <v>702</v>
      </c>
      <c r="R102" s="72" t="s">
        <v>730</v>
      </c>
      <c r="S102" s="72" t="s">
        <v>701</v>
      </c>
      <c r="T102" s="72" t="s">
        <v>722</v>
      </c>
      <c r="BA102" s="147"/>
      <c r="BF102" s="147"/>
      <c r="BG102" s="83"/>
      <c r="BH102" s="73"/>
      <c r="BI102" s="147"/>
      <c r="BJ102" s="77"/>
      <c r="BK102" s="73"/>
      <c r="BL102" s="73"/>
      <c r="BM102" s="77"/>
      <c r="BN102" s="73"/>
      <c r="BO102" s="73"/>
      <c r="BP102" s="147"/>
      <c r="BQ102" s="83"/>
      <c r="BR102" s="73"/>
      <c r="BS102" s="77"/>
      <c r="BT102" s="147"/>
      <c r="BU102" s="77"/>
      <c r="BV102" s="77"/>
      <c r="BW102" s="83"/>
      <c r="BX102" s="73"/>
      <c r="BY102" s="77"/>
      <c r="BZ102" s="73"/>
      <c r="CA102" s="73"/>
      <c r="CB102" s="77"/>
      <c r="CC102" s="73"/>
      <c r="CD102" s="73"/>
      <c r="CE102" s="83"/>
      <c r="CF102" s="73"/>
      <c r="CG102" s="77"/>
      <c r="CH102" s="147"/>
      <c r="CI102" s="77"/>
      <c r="CJ102" s="77"/>
      <c r="CK102" s="83"/>
      <c r="CL102" s="73"/>
      <c r="CM102" s="77"/>
      <c r="CN102" s="73"/>
      <c r="CO102" s="73"/>
      <c r="CP102" s="77"/>
      <c r="CQ102" s="73"/>
      <c r="CR102" s="73"/>
      <c r="CS102" s="83"/>
      <c r="CT102" s="73"/>
      <c r="CU102" s="77"/>
      <c r="CV102" s="147"/>
      <c r="CW102" s="77"/>
      <c r="CX102" s="77"/>
      <c r="CY102" s="83"/>
      <c r="CZ102" s="73"/>
      <c r="DA102" s="77"/>
      <c r="DB102" s="73"/>
      <c r="DC102" s="73"/>
      <c r="DD102" s="77"/>
      <c r="DE102" s="73"/>
      <c r="DF102" s="73"/>
      <c r="DG102" s="83"/>
      <c r="DH102" s="73"/>
      <c r="DI102" s="77"/>
      <c r="DJ102" s="147"/>
      <c r="DK102" s="77"/>
      <c r="DL102" s="77"/>
      <c r="DM102" s="83"/>
      <c r="DN102" s="73"/>
      <c r="DO102" s="77"/>
      <c r="DP102" s="73"/>
      <c r="DQ102" s="73"/>
      <c r="DR102" s="77"/>
      <c r="DS102" s="73"/>
      <c r="DT102" s="73"/>
      <c r="DU102" s="83"/>
      <c r="DV102" s="73"/>
      <c r="DW102" s="77"/>
      <c r="DX102" s="147"/>
      <c r="DY102" s="77"/>
      <c r="DZ102" s="77"/>
      <c r="EA102" s="83"/>
      <c r="EB102" s="73"/>
      <c r="EC102" s="77"/>
      <c r="ED102" s="73"/>
      <c r="EE102" s="73"/>
      <c r="EF102" s="77"/>
      <c r="EG102" s="73"/>
      <c r="EH102" s="73"/>
      <c r="EI102" s="83"/>
      <c r="EJ102" s="73"/>
      <c r="EK102" s="77"/>
      <c r="EL102" s="147"/>
      <c r="EN102" s="74"/>
      <c r="EO102" s="73"/>
      <c r="ER102" s="75"/>
      <c r="ES102" s="76"/>
      <c r="ET102" s="77"/>
      <c r="EU102" s="77"/>
      <c r="EV102" s="78"/>
      <c r="FA102" s="172"/>
      <c r="FB102" s="163"/>
      <c r="FC102" s="172"/>
      <c r="FH102" s="147"/>
      <c r="FL102" s="71"/>
      <c r="FM102" s="71"/>
      <c r="FN102" s="71"/>
      <c r="FO102" s="71"/>
      <c r="FP102" s="71"/>
      <c r="FQ102" s="71"/>
      <c r="FR102" s="71"/>
      <c r="FS102" s="147"/>
      <c r="FW102" s="71"/>
      <c r="FX102" s="71"/>
      <c r="FY102" s="71"/>
      <c r="FZ102" s="71"/>
      <c r="GA102" s="71"/>
      <c r="GB102" s="71"/>
      <c r="GC102" s="71"/>
      <c r="GD102" s="71"/>
      <c r="GE102" s="71"/>
      <c r="GF102" s="71"/>
      <c r="GG102" s="71"/>
      <c r="GH102" s="71"/>
      <c r="GI102" s="71"/>
      <c r="GJ102" s="71"/>
      <c r="GK102" s="71"/>
      <c r="GL102" s="71"/>
      <c r="GM102" s="71"/>
      <c r="GN102" s="71"/>
      <c r="GO102" s="71"/>
      <c r="GP102" s="71"/>
      <c r="GQ102" s="71"/>
      <c r="GR102" s="71"/>
      <c r="GS102" s="71"/>
      <c r="GT102" s="71"/>
      <c r="GU102" s="71"/>
      <c r="GV102" s="71"/>
      <c r="GW102" s="71"/>
      <c r="GX102" s="71"/>
      <c r="GY102" s="71"/>
      <c r="GZ102" s="71"/>
      <c r="HA102" s="71"/>
      <c r="HB102" s="71"/>
      <c r="HC102" s="71"/>
      <c r="HD102" s="71"/>
      <c r="HM102" s="83">
        <v>109.2436</v>
      </c>
      <c r="HN102" s="73" t="str">
        <f>mehrsprachigkeitBegriffsrückgabe(gewählteSpracheZurückgeben(), "Fixed price")</f>
        <v>Anpassung mit fixem Preis</v>
      </c>
      <c r="HW102" s="83">
        <v>109.2436</v>
      </c>
      <c r="HX102" s="73" t="str">
        <f>mehrsprachigkeitBegriffsrückgabe(gewählteSpracheZurückgeben(), "Fixed price")</f>
        <v>Anpassung mit fixem Preis</v>
      </c>
      <c r="HY102" s="77">
        <v>1</v>
      </c>
      <c r="KT102" s="74">
        <v>0</v>
      </c>
      <c r="KU102" s="73" t="str">
        <f>mehrsprachigkeitBegriffsrückgabe(gewählteSpracheZurückgeben(), "Percent")</f>
        <v>Prozentuale Anpassung</v>
      </c>
      <c r="KX102" s="75">
        <v>0</v>
      </c>
      <c r="LH102" s="72" t="s">
        <v>767</v>
      </c>
      <c r="LI102" s="72" t="s">
        <v>744</v>
      </c>
    </row>
    <row r="103" spans="1:321" ht="15.95" customHeight="1" x14ac:dyDescent="0.25">
      <c r="B103" s="162"/>
      <c r="C103" s="162"/>
      <c r="D103" s="162"/>
      <c r="F103" s="71" t="str">
        <f>mehrsprachigkeitBegriffsrückgabe(gewählteSpracheZurückgeben(), "Variant (foreign language)")</f>
        <v>Variante (Fremdsprache)</v>
      </c>
      <c r="H103" s="72" t="s">
        <v>894</v>
      </c>
      <c r="I103" s="72" t="s">
        <v>94</v>
      </c>
      <c r="BA103" s="147"/>
      <c r="BF103" s="147"/>
      <c r="BG103" s="83"/>
      <c r="BH103" s="73"/>
      <c r="BI103" s="147"/>
      <c r="BJ103" s="77"/>
      <c r="BK103" s="73"/>
      <c r="BL103" s="73"/>
      <c r="BM103" s="77"/>
      <c r="BN103" s="73"/>
      <c r="BO103" s="73"/>
      <c r="BP103" s="147"/>
      <c r="BQ103" s="83"/>
      <c r="BR103" s="73"/>
      <c r="BS103" s="77"/>
      <c r="BT103" s="147"/>
      <c r="BU103" s="77"/>
      <c r="BV103" s="77"/>
      <c r="BW103" s="83"/>
      <c r="BX103" s="73"/>
      <c r="BY103" s="77"/>
      <c r="BZ103" s="73"/>
      <c r="CA103" s="73"/>
      <c r="CB103" s="77"/>
      <c r="CC103" s="73"/>
      <c r="CD103" s="73"/>
      <c r="CE103" s="83"/>
      <c r="CF103" s="73"/>
      <c r="CG103" s="77"/>
      <c r="CH103" s="147"/>
      <c r="CI103" s="77"/>
      <c r="CJ103" s="77"/>
      <c r="CK103" s="83"/>
      <c r="CL103" s="73"/>
      <c r="CM103" s="77"/>
      <c r="CN103" s="73"/>
      <c r="CO103" s="73"/>
      <c r="CP103" s="77"/>
      <c r="CQ103" s="73"/>
      <c r="CR103" s="73"/>
      <c r="CS103" s="83"/>
      <c r="CT103" s="73"/>
      <c r="CU103" s="77"/>
      <c r="CV103" s="147"/>
      <c r="CW103" s="77"/>
      <c r="CX103" s="77"/>
      <c r="CY103" s="83"/>
      <c r="CZ103" s="73"/>
      <c r="DA103" s="77"/>
      <c r="DB103" s="73"/>
      <c r="DC103" s="73"/>
      <c r="DD103" s="77"/>
      <c r="DE103" s="73"/>
      <c r="DF103" s="73"/>
      <c r="DG103" s="83"/>
      <c r="DH103" s="73"/>
      <c r="DI103" s="77"/>
      <c r="DJ103" s="147"/>
      <c r="DK103" s="77"/>
      <c r="DL103" s="77"/>
      <c r="DM103" s="83"/>
      <c r="DN103" s="73"/>
      <c r="DO103" s="77"/>
      <c r="DP103" s="73"/>
      <c r="DQ103" s="73"/>
      <c r="DR103" s="77"/>
      <c r="DS103" s="73"/>
      <c r="DT103" s="73"/>
      <c r="DU103" s="83"/>
      <c r="DV103" s="73"/>
      <c r="DW103" s="77"/>
      <c r="DX103" s="147"/>
      <c r="DY103" s="77"/>
      <c r="DZ103" s="77"/>
      <c r="EA103" s="83"/>
      <c r="EB103" s="73"/>
      <c r="EC103" s="77"/>
      <c r="ED103" s="73"/>
      <c r="EE103" s="73"/>
      <c r="EF103" s="77"/>
      <c r="EG103" s="73"/>
      <c r="EH103" s="73"/>
      <c r="EI103" s="83"/>
      <c r="EJ103" s="73"/>
      <c r="EK103" s="77"/>
      <c r="EL103" s="147"/>
      <c r="EN103" s="74"/>
      <c r="EO103" s="73"/>
      <c r="ER103" s="75"/>
      <c r="ES103" s="76"/>
      <c r="ET103" s="77"/>
      <c r="EU103" s="77"/>
      <c r="EV103" s="78"/>
      <c r="FA103" s="172"/>
      <c r="FB103" s="163"/>
      <c r="FC103" s="172"/>
      <c r="FH103" s="147"/>
      <c r="FL103" s="71"/>
      <c r="FM103" s="71"/>
      <c r="FN103" s="71"/>
      <c r="FO103" s="71"/>
      <c r="FP103" s="71"/>
      <c r="FQ103" s="71"/>
      <c r="FR103" s="71"/>
      <c r="FS103" s="147"/>
      <c r="FW103" s="71"/>
      <c r="FX103" s="71"/>
      <c r="FY103" s="71"/>
      <c r="FZ103" s="71"/>
      <c r="GA103" s="71"/>
      <c r="GB103" s="71"/>
      <c r="GC103" s="71"/>
      <c r="GD103" s="71"/>
      <c r="GE103" s="71"/>
      <c r="GF103" s="71"/>
      <c r="GG103" s="71"/>
      <c r="GH103" s="71"/>
      <c r="GI103" s="71"/>
      <c r="GJ103" s="71"/>
      <c r="GK103" s="71"/>
      <c r="GL103" s="71"/>
      <c r="GM103" s="71"/>
      <c r="GN103" s="71"/>
      <c r="GO103" s="71"/>
      <c r="GP103" s="71"/>
      <c r="GQ103" s="71"/>
      <c r="GR103" s="71"/>
      <c r="GS103" s="71"/>
      <c r="GT103" s="71"/>
      <c r="GU103" s="71"/>
      <c r="GV103" s="71"/>
      <c r="GW103" s="71"/>
      <c r="GX103" s="71"/>
      <c r="GY103" s="71"/>
      <c r="GZ103" s="71"/>
      <c r="HA103" s="71"/>
      <c r="HB103" s="71"/>
      <c r="HC103" s="71"/>
      <c r="HD103" s="71"/>
    </row>
    <row r="104" spans="1:321" ht="15.95" customHeight="1" x14ac:dyDescent="0.25">
      <c r="A104" s="71">
        <v>4352</v>
      </c>
      <c r="B104" s="162"/>
      <c r="C104" s="162"/>
      <c r="D104" s="162">
        <v>1</v>
      </c>
      <c r="F104" s="71" t="str">
        <f>mehrsprachigkeitBegriffsrückgabe(gewählteSpracheZurückgeben(), "Variant")</f>
        <v>Variante</v>
      </c>
      <c r="G104" s="72" t="s">
        <v>896</v>
      </c>
      <c r="H104" s="72" t="s">
        <v>826</v>
      </c>
      <c r="I104" s="72" t="s">
        <v>86</v>
      </c>
      <c r="K104" s="72" t="s">
        <v>897</v>
      </c>
      <c r="M104" s="150" t="s">
        <v>700</v>
      </c>
      <c r="N104" s="72" t="s">
        <v>715</v>
      </c>
      <c r="O104" s="72" t="s">
        <v>699</v>
      </c>
      <c r="P104" s="72" t="s">
        <v>524</v>
      </c>
      <c r="Q104" s="72" t="s">
        <v>702</v>
      </c>
      <c r="R104" s="72" t="s">
        <v>730</v>
      </c>
      <c r="S104" s="72" t="s">
        <v>701</v>
      </c>
      <c r="T104" s="72" t="s">
        <v>722</v>
      </c>
      <c r="BA104" s="147"/>
      <c r="BF104" s="147"/>
      <c r="BG104" s="83"/>
      <c r="BH104" s="73"/>
      <c r="BI104" s="147"/>
      <c r="BJ104" s="77"/>
      <c r="BK104" s="73"/>
      <c r="BL104" s="73"/>
      <c r="BM104" s="77"/>
      <c r="BN104" s="73"/>
      <c r="BO104" s="73"/>
      <c r="BP104" s="147"/>
      <c r="BQ104" s="83"/>
      <c r="BR104" s="73"/>
      <c r="BS104" s="77"/>
      <c r="BT104" s="147"/>
      <c r="BU104" s="77"/>
      <c r="BV104" s="77"/>
      <c r="BW104" s="83"/>
      <c r="BX104" s="73"/>
      <c r="BY104" s="77"/>
      <c r="BZ104" s="73"/>
      <c r="CA104" s="73"/>
      <c r="CB104" s="77"/>
      <c r="CC104" s="73"/>
      <c r="CD104" s="73"/>
      <c r="CE104" s="83"/>
      <c r="CF104" s="73"/>
      <c r="CG104" s="77"/>
      <c r="CH104" s="147"/>
      <c r="CI104" s="77"/>
      <c r="CJ104" s="77"/>
      <c r="CK104" s="83"/>
      <c r="CL104" s="73"/>
      <c r="CM104" s="77"/>
      <c r="CN104" s="73"/>
      <c r="CO104" s="73"/>
      <c r="CP104" s="77"/>
      <c r="CQ104" s="73"/>
      <c r="CR104" s="73"/>
      <c r="CS104" s="83"/>
      <c r="CT104" s="73"/>
      <c r="CU104" s="77"/>
      <c r="CV104" s="147"/>
      <c r="CW104" s="77"/>
      <c r="CX104" s="77"/>
      <c r="CY104" s="83"/>
      <c r="CZ104" s="73"/>
      <c r="DA104" s="77"/>
      <c r="DB104" s="73"/>
      <c r="DC104" s="73"/>
      <c r="DD104" s="77"/>
      <c r="DE104" s="73"/>
      <c r="DF104" s="73"/>
      <c r="DG104" s="83"/>
      <c r="DH104" s="73"/>
      <c r="DI104" s="77"/>
      <c r="DJ104" s="147"/>
      <c r="DK104" s="77"/>
      <c r="DL104" s="77"/>
      <c r="DM104" s="83"/>
      <c r="DN104" s="73"/>
      <c r="DO104" s="77"/>
      <c r="DP104" s="73"/>
      <c r="DQ104" s="73"/>
      <c r="DR104" s="77"/>
      <c r="DS104" s="73"/>
      <c r="DT104" s="73"/>
      <c r="DU104" s="83"/>
      <c r="DV104" s="73"/>
      <c r="DW104" s="77"/>
      <c r="DX104" s="147"/>
      <c r="DY104" s="77"/>
      <c r="DZ104" s="77"/>
      <c r="EA104" s="83"/>
      <c r="EB104" s="73"/>
      <c r="EC104" s="77"/>
      <c r="ED104" s="73"/>
      <c r="EE104" s="73"/>
      <c r="EF104" s="77"/>
      <c r="EG104" s="73"/>
      <c r="EH104" s="73"/>
      <c r="EI104" s="83"/>
      <c r="EJ104" s="73"/>
      <c r="EK104" s="77"/>
      <c r="EL104" s="147"/>
      <c r="EN104" s="74"/>
      <c r="EO104" s="73"/>
      <c r="ER104" s="75"/>
      <c r="ES104" s="76"/>
      <c r="ET104" s="77"/>
      <c r="EU104" s="77"/>
      <c r="EV104" s="78"/>
      <c r="FA104" s="172"/>
      <c r="FB104" s="163"/>
      <c r="FC104" s="172"/>
      <c r="FH104" s="147"/>
      <c r="FL104" s="71"/>
      <c r="FM104" s="71"/>
      <c r="FN104" s="71"/>
      <c r="FO104" s="71"/>
      <c r="FP104" s="71"/>
      <c r="FQ104" s="71"/>
      <c r="FR104" s="71"/>
      <c r="FS104" s="147"/>
      <c r="FW104" s="71"/>
      <c r="FX104" s="71"/>
      <c r="FY104" s="71"/>
      <c r="FZ104" s="71"/>
      <c r="GA104" s="71"/>
      <c r="GB104" s="71"/>
      <c r="GC104" s="71"/>
      <c r="GD104" s="71"/>
      <c r="GE104" s="71"/>
      <c r="GF104" s="71"/>
      <c r="GG104" s="71"/>
      <c r="GH104" s="71"/>
      <c r="GI104" s="71"/>
      <c r="GJ104" s="71"/>
      <c r="GK104" s="71"/>
      <c r="GL104" s="71"/>
      <c r="GM104" s="71"/>
      <c r="GN104" s="71"/>
      <c r="GO104" s="71"/>
      <c r="GP104" s="71"/>
      <c r="GQ104" s="71"/>
      <c r="GR104" s="71"/>
      <c r="GS104" s="71"/>
      <c r="GT104" s="71"/>
      <c r="GU104" s="71"/>
      <c r="GV104" s="71"/>
      <c r="GW104" s="71"/>
      <c r="GX104" s="71"/>
      <c r="GY104" s="71"/>
      <c r="GZ104" s="71"/>
      <c r="HA104" s="71"/>
      <c r="HB104" s="71"/>
      <c r="HC104" s="71"/>
      <c r="HD104" s="71"/>
      <c r="HM104" s="83">
        <v>109.2436</v>
      </c>
      <c r="HN104" s="73" t="str">
        <f>mehrsprachigkeitBegriffsrückgabe(gewählteSpracheZurückgeben(), "Fixed price")</f>
        <v>Anpassung mit fixem Preis</v>
      </c>
      <c r="HW104" s="83">
        <v>109.2436</v>
      </c>
      <c r="HX104" s="73" t="str">
        <f>mehrsprachigkeitBegriffsrückgabe(gewählteSpracheZurückgeben(), "Fixed price")</f>
        <v>Anpassung mit fixem Preis</v>
      </c>
      <c r="HY104" s="77">
        <v>1</v>
      </c>
      <c r="KT104" s="74">
        <v>0</v>
      </c>
      <c r="KU104" s="73" t="str">
        <f>mehrsprachigkeitBegriffsrückgabe(gewählteSpracheZurückgeben(), "Percent")</f>
        <v>Prozentuale Anpassung</v>
      </c>
      <c r="KX104" s="75">
        <v>0</v>
      </c>
      <c r="LH104" s="72" t="s">
        <v>767</v>
      </c>
      <c r="LI104" s="72" t="s">
        <v>744</v>
      </c>
    </row>
    <row r="105" spans="1:321" ht="15.95" customHeight="1" x14ac:dyDescent="0.25">
      <c r="B105" s="162"/>
      <c r="C105" s="162"/>
      <c r="D105" s="162"/>
      <c r="F105" s="71" t="str">
        <f>mehrsprachigkeitBegriffsrückgabe(gewählteSpracheZurückgeben(), "Variant (foreign language)")</f>
        <v>Variante (Fremdsprache)</v>
      </c>
      <c r="H105" s="72" t="s">
        <v>896</v>
      </c>
      <c r="I105" s="72" t="s">
        <v>94</v>
      </c>
      <c r="BA105" s="147"/>
      <c r="BF105" s="147"/>
      <c r="BG105" s="83"/>
      <c r="BH105" s="73"/>
      <c r="BI105" s="147"/>
      <c r="BJ105" s="77"/>
      <c r="BK105" s="73"/>
      <c r="BL105" s="73"/>
      <c r="BM105" s="77"/>
      <c r="BN105" s="73"/>
      <c r="BO105" s="73"/>
      <c r="BP105" s="147"/>
      <c r="BQ105" s="83"/>
      <c r="BR105" s="73"/>
      <c r="BS105" s="77"/>
      <c r="BT105" s="147"/>
      <c r="BU105" s="77"/>
      <c r="BV105" s="77"/>
      <c r="BW105" s="83"/>
      <c r="BX105" s="73"/>
      <c r="BY105" s="77"/>
      <c r="BZ105" s="73"/>
      <c r="CA105" s="73"/>
      <c r="CB105" s="77"/>
      <c r="CC105" s="73"/>
      <c r="CD105" s="73"/>
      <c r="CE105" s="83"/>
      <c r="CF105" s="73"/>
      <c r="CG105" s="77"/>
      <c r="CH105" s="147"/>
      <c r="CI105" s="77"/>
      <c r="CJ105" s="77"/>
      <c r="CK105" s="83"/>
      <c r="CL105" s="73"/>
      <c r="CM105" s="77"/>
      <c r="CN105" s="73"/>
      <c r="CO105" s="73"/>
      <c r="CP105" s="77"/>
      <c r="CQ105" s="73"/>
      <c r="CR105" s="73"/>
      <c r="CS105" s="83"/>
      <c r="CT105" s="73"/>
      <c r="CU105" s="77"/>
      <c r="CV105" s="147"/>
      <c r="CW105" s="77"/>
      <c r="CX105" s="77"/>
      <c r="CY105" s="83"/>
      <c r="CZ105" s="73"/>
      <c r="DA105" s="77"/>
      <c r="DB105" s="73"/>
      <c r="DC105" s="73"/>
      <c r="DD105" s="77"/>
      <c r="DE105" s="73"/>
      <c r="DF105" s="73"/>
      <c r="DG105" s="83"/>
      <c r="DH105" s="73"/>
      <c r="DI105" s="77"/>
      <c r="DJ105" s="147"/>
      <c r="DK105" s="77"/>
      <c r="DL105" s="77"/>
      <c r="DM105" s="83"/>
      <c r="DN105" s="73"/>
      <c r="DO105" s="77"/>
      <c r="DP105" s="73"/>
      <c r="DQ105" s="73"/>
      <c r="DR105" s="77"/>
      <c r="DS105" s="73"/>
      <c r="DT105" s="73"/>
      <c r="DU105" s="83"/>
      <c r="DV105" s="73"/>
      <c r="DW105" s="77"/>
      <c r="DX105" s="147"/>
      <c r="DY105" s="77"/>
      <c r="DZ105" s="77"/>
      <c r="EA105" s="83"/>
      <c r="EB105" s="73"/>
      <c r="EC105" s="77"/>
      <c r="ED105" s="73"/>
      <c r="EE105" s="73"/>
      <c r="EF105" s="77"/>
      <c r="EG105" s="73"/>
      <c r="EH105" s="73"/>
      <c r="EI105" s="83"/>
      <c r="EJ105" s="73"/>
      <c r="EK105" s="77"/>
      <c r="EL105" s="147"/>
      <c r="EN105" s="74"/>
      <c r="EO105" s="73"/>
      <c r="ER105" s="75"/>
      <c r="ES105" s="76"/>
      <c r="ET105" s="77"/>
      <c r="EU105" s="77"/>
      <c r="EV105" s="78"/>
      <c r="FA105" s="172"/>
      <c r="FB105" s="163"/>
      <c r="FC105" s="172"/>
      <c r="FH105" s="147"/>
      <c r="FL105" s="71"/>
      <c r="FM105" s="71"/>
      <c r="FN105" s="71"/>
      <c r="FO105" s="71"/>
      <c r="FP105" s="71"/>
      <c r="FQ105" s="71"/>
      <c r="FR105" s="71"/>
      <c r="FS105" s="147"/>
      <c r="FW105" s="71"/>
      <c r="FX105" s="71"/>
      <c r="FY105" s="71"/>
      <c r="FZ105" s="71"/>
      <c r="GA105" s="71"/>
      <c r="GB105" s="71"/>
      <c r="GC105" s="71"/>
      <c r="GD105" s="71"/>
      <c r="GE105" s="71"/>
      <c r="GF105" s="71"/>
      <c r="GG105" s="71"/>
      <c r="GH105" s="71"/>
      <c r="GI105" s="71"/>
      <c r="GJ105" s="71"/>
      <c r="GK105" s="71"/>
      <c r="GL105" s="71"/>
      <c r="GM105" s="71"/>
      <c r="GN105" s="71"/>
      <c r="GO105" s="71"/>
      <c r="GP105" s="71"/>
      <c r="GQ105" s="71"/>
      <c r="GR105" s="71"/>
      <c r="GS105" s="71"/>
      <c r="GT105" s="71"/>
      <c r="GU105" s="71"/>
      <c r="GV105" s="71"/>
      <c r="GW105" s="71"/>
      <c r="GX105" s="71"/>
      <c r="GY105" s="71"/>
      <c r="GZ105" s="71"/>
      <c r="HA105" s="71"/>
      <c r="HB105" s="71"/>
      <c r="HC105" s="71"/>
      <c r="HD105" s="71"/>
    </row>
    <row r="106" spans="1:321" ht="15.95" customHeight="1" x14ac:dyDescent="0.25">
      <c r="A106" s="71">
        <v>4480</v>
      </c>
      <c r="B106" s="162"/>
      <c r="C106" s="162"/>
      <c r="D106" s="162">
        <v>1</v>
      </c>
      <c r="F106" s="71" t="str">
        <f>mehrsprachigkeitBegriffsrückgabe(gewählteSpracheZurückgeben(), "Variant")</f>
        <v>Variante</v>
      </c>
      <c r="G106" s="72" t="s">
        <v>898</v>
      </c>
      <c r="H106" s="72" t="s">
        <v>826</v>
      </c>
      <c r="I106" s="72" t="s">
        <v>86</v>
      </c>
      <c r="K106" s="72" t="s">
        <v>899</v>
      </c>
      <c r="M106" s="150" t="s">
        <v>700</v>
      </c>
      <c r="N106" s="72" t="s">
        <v>718</v>
      </c>
      <c r="O106" s="72" t="s">
        <v>699</v>
      </c>
      <c r="P106" s="72" t="s">
        <v>524</v>
      </c>
      <c r="Q106" s="72" t="s">
        <v>702</v>
      </c>
      <c r="R106" s="72" t="s">
        <v>730</v>
      </c>
      <c r="S106" s="72" t="s">
        <v>701</v>
      </c>
      <c r="T106" s="72" t="s">
        <v>724</v>
      </c>
      <c r="BA106" s="147"/>
      <c r="BF106" s="147"/>
      <c r="BG106" s="83"/>
      <c r="BH106" s="73"/>
      <c r="BI106" s="147"/>
      <c r="BJ106" s="77"/>
      <c r="BK106" s="73"/>
      <c r="BL106" s="73"/>
      <c r="BM106" s="77"/>
      <c r="BN106" s="73"/>
      <c r="BO106" s="73"/>
      <c r="BP106" s="147"/>
      <c r="BQ106" s="83"/>
      <c r="BR106" s="73"/>
      <c r="BS106" s="77"/>
      <c r="BT106" s="147"/>
      <c r="BU106" s="77"/>
      <c r="BV106" s="77"/>
      <c r="BW106" s="83"/>
      <c r="BX106" s="73"/>
      <c r="BY106" s="77"/>
      <c r="BZ106" s="73"/>
      <c r="CA106" s="73"/>
      <c r="CB106" s="77"/>
      <c r="CC106" s="73"/>
      <c r="CD106" s="73"/>
      <c r="CE106" s="83"/>
      <c r="CF106" s="73"/>
      <c r="CG106" s="77"/>
      <c r="CH106" s="147"/>
      <c r="CI106" s="77"/>
      <c r="CJ106" s="77"/>
      <c r="CK106" s="83"/>
      <c r="CL106" s="73"/>
      <c r="CM106" s="77"/>
      <c r="CN106" s="73"/>
      <c r="CO106" s="73"/>
      <c r="CP106" s="77"/>
      <c r="CQ106" s="73"/>
      <c r="CR106" s="73"/>
      <c r="CS106" s="83"/>
      <c r="CT106" s="73"/>
      <c r="CU106" s="77"/>
      <c r="CV106" s="147"/>
      <c r="CW106" s="77"/>
      <c r="CX106" s="77"/>
      <c r="CY106" s="83"/>
      <c r="CZ106" s="73"/>
      <c r="DA106" s="77"/>
      <c r="DB106" s="73"/>
      <c r="DC106" s="73"/>
      <c r="DD106" s="77"/>
      <c r="DE106" s="73"/>
      <c r="DF106" s="73"/>
      <c r="DG106" s="83"/>
      <c r="DH106" s="73"/>
      <c r="DI106" s="77"/>
      <c r="DJ106" s="147"/>
      <c r="DK106" s="77"/>
      <c r="DL106" s="77"/>
      <c r="DM106" s="83"/>
      <c r="DN106" s="73"/>
      <c r="DO106" s="77"/>
      <c r="DP106" s="73"/>
      <c r="DQ106" s="73"/>
      <c r="DR106" s="77"/>
      <c r="DS106" s="73"/>
      <c r="DT106" s="73"/>
      <c r="DU106" s="83"/>
      <c r="DV106" s="73"/>
      <c r="DW106" s="77"/>
      <c r="DX106" s="147"/>
      <c r="DY106" s="77"/>
      <c r="DZ106" s="77"/>
      <c r="EA106" s="83"/>
      <c r="EB106" s="73"/>
      <c r="EC106" s="77"/>
      <c r="ED106" s="73"/>
      <c r="EE106" s="73"/>
      <c r="EF106" s="77"/>
      <c r="EG106" s="73"/>
      <c r="EH106" s="73"/>
      <c r="EI106" s="83"/>
      <c r="EJ106" s="73"/>
      <c r="EK106" s="77"/>
      <c r="EL106" s="147"/>
      <c r="EN106" s="74"/>
      <c r="EO106" s="73"/>
      <c r="ER106" s="75"/>
      <c r="ES106" s="76"/>
      <c r="ET106" s="77"/>
      <c r="EU106" s="77"/>
      <c r="EV106" s="78"/>
      <c r="FA106" s="172"/>
      <c r="FB106" s="163"/>
      <c r="FC106" s="172"/>
      <c r="FH106" s="147"/>
      <c r="FL106" s="71"/>
      <c r="FM106" s="71"/>
      <c r="FN106" s="71"/>
      <c r="FO106" s="71"/>
      <c r="FP106" s="71"/>
      <c r="FQ106" s="71"/>
      <c r="FR106" s="71"/>
      <c r="FS106" s="147"/>
      <c r="FW106" s="71"/>
      <c r="FX106" s="71"/>
      <c r="FY106" s="71"/>
      <c r="FZ106" s="71"/>
      <c r="GA106" s="71"/>
      <c r="GB106" s="71"/>
      <c r="GC106" s="71"/>
      <c r="GD106" s="71"/>
      <c r="GE106" s="71"/>
      <c r="GF106" s="71"/>
      <c r="GG106" s="71"/>
      <c r="GH106" s="71"/>
      <c r="GI106" s="71"/>
      <c r="GJ106" s="71"/>
      <c r="GK106" s="71"/>
      <c r="GL106" s="71"/>
      <c r="GM106" s="71"/>
      <c r="GN106" s="71"/>
      <c r="GO106" s="71"/>
      <c r="GP106" s="71"/>
      <c r="GQ106" s="71"/>
      <c r="GR106" s="71"/>
      <c r="GS106" s="71"/>
      <c r="GT106" s="71"/>
      <c r="GU106" s="71"/>
      <c r="GV106" s="71"/>
      <c r="GW106" s="71"/>
      <c r="GX106" s="71"/>
      <c r="GY106" s="71"/>
      <c r="GZ106" s="71"/>
      <c r="HA106" s="71"/>
      <c r="HB106" s="71"/>
      <c r="HC106" s="71"/>
      <c r="HD106" s="71"/>
      <c r="HM106" s="83">
        <v>151.26050000000001</v>
      </c>
      <c r="HN106" s="73" t="str">
        <f>mehrsprachigkeitBegriffsrückgabe(gewählteSpracheZurückgeben(), "Fixed price")</f>
        <v>Anpassung mit fixem Preis</v>
      </c>
      <c r="HW106" s="83">
        <v>151.26050000000001</v>
      </c>
      <c r="HX106" s="73" t="str">
        <f>mehrsprachigkeitBegriffsrückgabe(gewählteSpracheZurückgeben(), "Fixed price")</f>
        <v>Anpassung mit fixem Preis</v>
      </c>
      <c r="HY106" s="77">
        <v>1</v>
      </c>
      <c r="KT106" s="74">
        <v>0</v>
      </c>
      <c r="KU106" s="73" t="str">
        <f>mehrsprachigkeitBegriffsrückgabe(gewählteSpracheZurückgeben(), "Percent")</f>
        <v>Prozentuale Anpassung</v>
      </c>
      <c r="KX106" s="75">
        <v>0</v>
      </c>
      <c r="LH106" s="72" t="s">
        <v>767</v>
      </c>
      <c r="LI106" s="72" t="s">
        <v>744</v>
      </c>
    </row>
    <row r="107" spans="1:321" ht="15.95" customHeight="1" x14ac:dyDescent="0.25">
      <c r="B107" s="162"/>
      <c r="C107" s="162"/>
      <c r="D107" s="162"/>
      <c r="F107" s="71" t="str">
        <f>mehrsprachigkeitBegriffsrückgabe(gewählteSpracheZurückgeben(), "Variant (foreign language)")</f>
        <v>Variante (Fremdsprache)</v>
      </c>
      <c r="H107" s="72" t="s">
        <v>898</v>
      </c>
      <c r="I107" s="72" t="s">
        <v>94</v>
      </c>
      <c r="BA107" s="147"/>
      <c r="BF107" s="147"/>
      <c r="BG107" s="83"/>
      <c r="BH107" s="73"/>
      <c r="BI107" s="147"/>
      <c r="BJ107" s="77"/>
      <c r="BK107" s="73"/>
      <c r="BL107" s="73"/>
      <c r="BM107" s="77"/>
      <c r="BN107" s="73"/>
      <c r="BO107" s="73"/>
      <c r="BP107" s="147"/>
      <c r="BQ107" s="83"/>
      <c r="BR107" s="73"/>
      <c r="BS107" s="77"/>
      <c r="BT107" s="147"/>
      <c r="BU107" s="77"/>
      <c r="BV107" s="77"/>
      <c r="BW107" s="83"/>
      <c r="BX107" s="73"/>
      <c r="BY107" s="77"/>
      <c r="BZ107" s="73"/>
      <c r="CA107" s="73"/>
      <c r="CB107" s="77"/>
      <c r="CC107" s="73"/>
      <c r="CD107" s="73"/>
      <c r="CE107" s="83"/>
      <c r="CF107" s="73"/>
      <c r="CG107" s="77"/>
      <c r="CH107" s="147"/>
      <c r="CI107" s="77"/>
      <c r="CJ107" s="77"/>
      <c r="CK107" s="83"/>
      <c r="CL107" s="73"/>
      <c r="CM107" s="77"/>
      <c r="CN107" s="73"/>
      <c r="CO107" s="73"/>
      <c r="CP107" s="77"/>
      <c r="CQ107" s="73"/>
      <c r="CR107" s="73"/>
      <c r="CS107" s="83"/>
      <c r="CT107" s="73"/>
      <c r="CU107" s="77"/>
      <c r="CV107" s="147"/>
      <c r="CW107" s="77"/>
      <c r="CX107" s="77"/>
      <c r="CY107" s="83"/>
      <c r="CZ107" s="73"/>
      <c r="DA107" s="77"/>
      <c r="DB107" s="73"/>
      <c r="DC107" s="73"/>
      <c r="DD107" s="77"/>
      <c r="DE107" s="73"/>
      <c r="DF107" s="73"/>
      <c r="DG107" s="83"/>
      <c r="DH107" s="73"/>
      <c r="DI107" s="77"/>
      <c r="DJ107" s="147"/>
      <c r="DK107" s="77"/>
      <c r="DL107" s="77"/>
      <c r="DM107" s="83"/>
      <c r="DN107" s="73"/>
      <c r="DO107" s="77"/>
      <c r="DP107" s="73"/>
      <c r="DQ107" s="73"/>
      <c r="DR107" s="77"/>
      <c r="DS107" s="73"/>
      <c r="DT107" s="73"/>
      <c r="DU107" s="83"/>
      <c r="DV107" s="73"/>
      <c r="DW107" s="77"/>
      <c r="DX107" s="147"/>
      <c r="DY107" s="77"/>
      <c r="DZ107" s="77"/>
      <c r="EA107" s="83"/>
      <c r="EB107" s="73"/>
      <c r="EC107" s="77"/>
      <c r="ED107" s="73"/>
      <c r="EE107" s="73"/>
      <c r="EF107" s="77"/>
      <c r="EG107" s="73"/>
      <c r="EH107" s="73"/>
      <c r="EI107" s="83"/>
      <c r="EJ107" s="73"/>
      <c r="EK107" s="77"/>
      <c r="EL107" s="147"/>
      <c r="EN107" s="74"/>
      <c r="EO107" s="73"/>
      <c r="ER107" s="75"/>
      <c r="ES107" s="76"/>
      <c r="ET107" s="77"/>
      <c r="EU107" s="77"/>
      <c r="EV107" s="78"/>
      <c r="FA107" s="172"/>
      <c r="FB107" s="163"/>
      <c r="FC107" s="172"/>
      <c r="FH107" s="147"/>
      <c r="FL107" s="71"/>
      <c r="FM107" s="71"/>
      <c r="FN107" s="71"/>
      <c r="FO107" s="71"/>
      <c r="FP107" s="71"/>
      <c r="FQ107" s="71"/>
      <c r="FR107" s="71"/>
      <c r="FS107" s="147"/>
      <c r="FW107" s="71"/>
      <c r="FX107" s="71"/>
      <c r="FY107" s="71"/>
      <c r="FZ107" s="71"/>
      <c r="GA107" s="71"/>
      <c r="GB107" s="71"/>
      <c r="GC107" s="71"/>
      <c r="GD107" s="71"/>
      <c r="GE107" s="71"/>
      <c r="GF107" s="71"/>
      <c r="GG107" s="71"/>
      <c r="GH107" s="71"/>
      <c r="GI107" s="71"/>
      <c r="GJ107" s="71"/>
      <c r="GK107" s="71"/>
      <c r="GL107" s="71"/>
      <c r="GM107" s="71"/>
      <c r="GN107" s="71"/>
      <c r="GO107" s="71"/>
      <c r="GP107" s="71"/>
      <c r="GQ107" s="71"/>
      <c r="GR107" s="71"/>
      <c r="GS107" s="71"/>
      <c r="GT107" s="71"/>
      <c r="GU107" s="71"/>
      <c r="GV107" s="71"/>
      <c r="GW107" s="71"/>
      <c r="GX107" s="71"/>
      <c r="GY107" s="71"/>
      <c r="GZ107" s="71"/>
      <c r="HA107" s="71"/>
      <c r="HB107" s="71"/>
      <c r="HC107" s="71"/>
      <c r="HD107" s="71"/>
    </row>
    <row r="108" spans="1:321" ht="15.95" customHeight="1" x14ac:dyDescent="0.25">
      <c r="A108" s="71">
        <v>4608</v>
      </c>
      <c r="B108" s="162"/>
      <c r="C108" s="162"/>
      <c r="D108" s="162">
        <v>1</v>
      </c>
      <c r="F108" s="71" t="str">
        <f>mehrsprachigkeitBegriffsrückgabe(gewählteSpracheZurückgeben(), "Variant")</f>
        <v>Variante</v>
      </c>
      <c r="G108" s="72" t="s">
        <v>900</v>
      </c>
      <c r="H108" s="72" t="s">
        <v>826</v>
      </c>
      <c r="I108" s="72" t="s">
        <v>86</v>
      </c>
      <c r="K108" s="72" t="s">
        <v>901</v>
      </c>
      <c r="M108" s="150" t="s">
        <v>700</v>
      </c>
      <c r="N108" s="72" t="s">
        <v>718</v>
      </c>
      <c r="O108" s="72" t="s">
        <v>699</v>
      </c>
      <c r="P108" s="72" t="s">
        <v>709</v>
      </c>
      <c r="Q108" s="72" t="s">
        <v>702</v>
      </c>
      <c r="R108" s="72" t="s">
        <v>730</v>
      </c>
      <c r="S108" s="72" t="s">
        <v>701</v>
      </c>
      <c r="T108" s="72" t="s">
        <v>724</v>
      </c>
      <c r="BA108" s="147"/>
      <c r="BF108" s="147"/>
      <c r="BG108" s="83"/>
      <c r="BH108" s="73"/>
      <c r="BI108" s="147"/>
      <c r="BJ108" s="77"/>
      <c r="BK108" s="73"/>
      <c r="BL108" s="73"/>
      <c r="BM108" s="77"/>
      <c r="BN108" s="73"/>
      <c r="BO108" s="73"/>
      <c r="BP108" s="147"/>
      <c r="BQ108" s="83"/>
      <c r="BR108" s="73"/>
      <c r="BS108" s="77"/>
      <c r="BT108" s="147"/>
      <c r="BU108" s="77"/>
      <c r="BV108" s="77"/>
      <c r="BW108" s="83"/>
      <c r="BX108" s="73"/>
      <c r="BY108" s="77"/>
      <c r="BZ108" s="73"/>
      <c r="CA108" s="73"/>
      <c r="CB108" s="77"/>
      <c r="CC108" s="73"/>
      <c r="CD108" s="73"/>
      <c r="CE108" s="83"/>
      <c r="CF108" s="73"/>
      <c r="CG108" s="77"/>
      <c r="CH108" s="147"/>
      <c r="CI108" s="77"/>
      <c r="CJ108" s="77"/>
      <c r="CK108" s="83"/>
      <c r="CL108" s="73"/>
      <c r="CM108" s="77"/>
      <c r="CN108" s="73"/>
      <c r="CO108" s="73"/>
      <c r="CP108" s="77"/>
      <c r="CQ108" s="73"/>
      <c r="CR108" s="73"/>
      <c r="CS108" s="83"/>
      <c r="CT108" s="73"/>
      <c r="CU108" s="77"/>
      <c r="CV108" s="147"/>
      <c r="CW108" s="77"/>
      <c r="CX108" s="77"/>
      <c r="CY108" s="83"/>
      <c r="CZ108" s="73"/>
      <c r="DA108" s="77"/>
      <c r="DB108" s="73"/>
      <c r="DC108" s="73"/>
      <c r="DD108" s="77"/>
      <c r="DE108" s="73"/>
      <c r="DF108" s="73"/>
      <c r="DG108" s="83"/>
      <c r="DH108" s="73"/>
      <c r="DI108" s="77"/>
      <c r="DJ108" s="147"/>
      <c r="DK108" s="77"/>
      <c r="DL108" s="77"/>
      <c r="DM108" s="83"/>
      <c r="DN108" s="73"/>
      <c r="DO108" s="77"/>
      <c r="DP108" s="73"/>
      <c r="DQ108" s="73"/>
      <c r="DR108" s="77"/>
      <c r="DS108" s="73"/>
      <c r="DT108" s="73"/>
      <c r="DU108" s="83"/>
      <c r="DV108" s="73"/>
      <c r="DW108" s="77"/>
      <c r="DX108" s="147"/>
      <c r="DY108" s="77"/>
      <c r="DZ108" s="77"/>
      <c r="EA108" s="83"/>
      <c r="EB108" s="73"/>
      <c r="EC108" s="77"/>
      <c r="ED108" s="73"/>
      <c r="EE108" s="73"/>
      <c r="EF108" s="77"/>
      <c r="EG108" s="73"/>
      <c r="EH108" s="73"/>
      <c r="EI108" s="83"/>
      <c r="EJ108" s="73"/>
      <c r="EK108" s="77"/>
      <c r="EL108" s="147"/>
      <c r="EN108" s="74"/>
      <c r="EO108" s="73"/>
      <c r="ER108" s="75"/>
      <c r="ES108" s="76"/>
      <c r="ET108" s="77"/>
      <c r="EU108" s="77"/>
      <c r="EV108" s="78"/>
      <c r="FA108" s="172"/>
      <c r="FB108" s="163"/>
      <c r="FC108" s="172"/>
      <c r="FH108" s="147"/>
      <c r="FL108" s="71"/>
      <c r="FM108" s="71"/>
      <c r="FN108" s="71"/>
      <c r="FO108" s="71"/>
      <c r="FP108" s="71"/>
      <c r="FQ108" s="71"/>
      <c r="FR108" s="71"/>
      <c r="FS108" s="147"/>
      <c r="FW108" s="71"/>
      <c r="FX108" s="71"/>
      <c r="FY108" s="71"/>
      <c r="FZ108" s="71"/>
      <c r="GA108" s="71"/>
      <c r="GB108" s="71"/>
      <c r="GC108" s="71"/>
      <c r="GD108" s="71"/>
      <c r="GE108" s="71"/>
      <c r="GF108" s="71"/>
      <c r="GG108" s="71"/>
      <c r="GH108" s="71"/>
      <c r="GI108" s="71"/>
      <c r="GJ108" s="71"/>
      <c r="GK108" s="71"/>
      <c r="GL108" s="71"/>
      <c r="GM108" s="71"/>
      <c r="GN108" s="71"/>
      <c r="GO108" s="71"/>
      <c r="GP108" s="71"/>
      <c r="GQ108" s="71"/>
      <c r="GR108" s="71"/>
      <c r="GS108" s="71"/>
      <c r="GT108" s="71"/>
      <c r="GU108" s="71"/>
      <c r="GV108" s="71"/>
      <c r="GW108" s="71"/>
      <c r="GX108" s="71"/>
      <c r="GY108" s="71"/>
      <c r="GZ108" s="71"/>
      <c r="HA108" s="71"/>
      <c r="HB108" s="71"/>
      <c r="HC108" s="71"/>
      <c r="HD108" s="71"/>
      <c r="HM108" s="83">
        <v>151.26050000000001</v>
      </c>
      <c r="HN108" s="73" t="str">
        <f>mehrsprachigkeitBegriffsrückgabe(gewählteSpracheZurückgeben(), "Fixed price")</f>
        <v>Anpassung mit fixem Preis</v>
      </c>
      <c r="HW108" s="83">
        <v>151.26050000000001</v>
      </c>
      <c r="HX108" s="73" t="str">
        <f>mehrsprachigkeitBegriffsrückgabe(gewählteSpracheZurückgeben(), "Fixed price")</f>
        <v>Anpassung mit fixem Preis</v>
      </c>
      <c r="HY108" s="77">
        <v>1</v>
      </c>
      <c r="KT108" s="74">
        <v>0</v>
      </c>
      <c r="KU108" s="73" t="str">
        <f>mehrsprachigkeitBegriffsrückgabe(gewählteSpracheZurückgeben(), "Percent")</f>
        <v>Prozentuale Anpassung</v>
      </c>
      <c r="KX108" s="75">
        <v>0</v>
      </c>
      <c r="LH108" s="72" t="s">
        <v>767</v>
      </c>
      <c r="LI108" s="72" t="s">
        <v>744</v>
      </c>
    </row>
    <row r="109" spans="1:321" ht="15.95" customHeight="1" x14ac:dyDescent="0.25">
      <c r="B109" s="162"/>
      <c r="C109" s="162"/>
      <c r="D109" s="162"/>
      <c r="F109" s="71" t="str">
        <f>mehrsprachigkeitBegriffsrückgabe(gewählteSpracheZurückgeben(), "Variant (foreign language)")</f>
        <v>Variante (Fremdsprache)</v>
      </c>
      <c r="H109" s="72" t="s">
        <v>900</v>
      </c>
      <c r="I109" s="72" t="s">
        <v>94</v>
      </c>
      <c r="BA109" s="147"/>
      <c r="BF109" s="147"/>
      <c r="BG109" s="83"/>
      <c r="BH109" s="73"/>
      <c r="BI109" s="147"/>
      <c r="BJ109" s="77"/>
      <c r="BK109" s="73"/>
      <c r="BL109" s="73"/>
      <c r="BM109" s="77"/>
      <c r="BN109" s="73"/>
      <c r="BO109" s="73"/>
      <c r="BP109" s="147"/>
      <c r="BQ109" s="83"/>
      <c r="BR109" s="73"/>
      <c r="BS109" s="77"/>
      <c r="BT109" s="147"/>
      <c r="BU109" s="77"/>
      <c r="BV109" s="77"/>
      <c r="BW109" s="83"/>
      <c r="BX109" s="73"/>
      <c r="BY109" s="77"/>
      <c r="BZ109" s="73"/>
      <c r="CA109" s="73"/>
      <c r="CB109" s="77"/>
      <c r="CC109" s="73"/>
      <c r="CD109" s="73"/>
      <c r="CE109" s="83"/>
      <c r="CF109" s="73"/>
      <c r="CG109" s="77"/>
      <c r="CH109" s="147"/>
      <c r="CI109" s="77"/>
      <c r="CJ109" s="77"/>
      <c r="CK109" s="83"/>
      <c r="CL109" s="73"/>
      <c r="CM109" s="77"/>
      <c r="CN109" s="73"/>
      <c r="CO109" s="73"/>
      <c r="CP109" s="77"/>
      <c r="CQ109" s="73"/>
      <c r="CR109" s="73"/>
      <c r="CS109" s="83"/>
      <c r="CT109" s="73"/>
      <c r="CU109" s="77"/>
      <c r="CV109" s="147"/>
      <c r="CW109" s="77"/>
      <c r="CX109" s="77"/>
      <c r="CY109" s="83"/>
      <c r="CZ109" s="73"/>
      <c r="DA109" s="77"/>
      <c r="DB109" s="73"/>
      <c r="DC109" s="73"/>
      <c r="DD109" s="77"/>
      <c r="DE109" s="73"/>
      <c r="DF109" s="73"/>
      <c r="DG109" s="83"/>
      <c r="DH109" s="73"/>
      <c r="DI109" s="77"/>
      <c r="DJ109" s="147"/>
      <c r="DK109" s="77"/>
      <c r="DL109" s="77"/>
      <c r="DM109" s="83"/>
      <c r="DN109" s="73"/>
      <c r="DO109" s="77"/>
      <c r="DP109" s="73"/>
      <c r="DQ109" s="73"/>
      <c r="DR109" s="77"/>
      <c r="DS109" s="73"/>
      <c r="DT109" s="73"/>
      <c r="DU109" s="83"/>
      <c r="DV109" s="73"/>
      <c r="DW109" s="77"/>
      <c r="DX109" s="147"/>
      <c r="DY109" s="77"/>
      <c r="DZ109" s="77"/>
      <c r="EA109" s="83"/>
      <c r="EB109" s="73"/>
      <c r="EC109" s="77"/>
      <c r="ED109" s="73"/>
      <c r="EE109" s="73"/>
      <c r="EF109" s="77"/>
      <c r="EG109" s="73"/>
      <c r="EH109" s="73"/>
      <c r="EI109" s="83"/>
      <c r="EJ109" s="73"/>
      <c r="EK109" s="77"/>
      <c r="EL109" s="147"/>
      <c r="EN109" s="74"/>
      <c r="EO109" s="73"/>
      <c r="ER109" s="75"/>
      <c r="ES109" s="76"/>
      <c r="ET109" s="77"/>
      <c r="EU109" s="77"/>
      <c r="EV109" s="78"/>
      <c r="FA109" s="172"/>
      <c r="FB109" s="163"/>
      <c r="FC109" s="172"/>
      <c r="FH109" s="147"/>
      <c r="FL109" s="71"/>
      <c r="FM109" s="71"/>
      <c r="FN109" s="71"/>
      <c r="FO109" s="71"/>
      <c r="FP109" s="71"/>
      <c r="FQ109" s="71"/>
      <c r="FR109" s="71"/>
      <c r="FS109" s="147"/>
      <c r="FW109" s="71"/>
      <c r="FX109" s="71"/>
      <c r="FY109" s="71"/>
      <c r="FZ109" s="71"/>
      <c r="GA109" s="71"/>
      <c r="GB109" s="71"/>
      <c r="GC109" s="71"/>
      <c r="GD109" s="71"/>
      <c r="GE109" s="71"/>
      <c r="GF109" s="71"/>
      <c r="GG109" s="71"/>
      <c r="GH109" s="71"/>
      <c r="GI109" s="71"/>
      <c r="GJ109" s="71"/>
      <c r="GK109" s="71"/>
      <c r="GL109" s="71"/>
      <c r="GM109" s="71"/>
      <c r="GN109" s="71"/>
      <c r="GO109" s="71"/>
      <c r="GP109" s="71"/>
      <c r="GQ109" s="71"/>
      <c r="GR109" s="71"/>
      <c r="GS109" s="71"/>
      <c r="GT109" s="71"/>
      <c r="GU109" s="71"/>
      <c r="GV109" s="71"/>
      <c r="GW109" s="71"/>
      <c r="GX109" s="71"/>
      <c r="GY109" s="71"/>
      <c r="GZ109" s="71"/>
      <c r="HA109" s="71"/>
      <c r="HB109" s="71"/>
      <c r="HC109" s="71"/>
      <c r="HD109" s="71"/>
    </row>
    <row r="110" spans="1:321" ht="15.95" customHeight="1" x14ac:dyDescent="0.25">
      <c r="A110" s="71">
        <v>4736</v>
      </c>
      <c r="B110" s="162"/>
      <c r="C110" s="162"/>
      <c r="D110" s="162">
        <v>1</v>
      </c>
      <c r="F110" s="71" t="str">
        <f>mehrsprachigkeitBegriffsrückgabe(gewählteSpracheZurückgeben(), "Variant")</f>
        <v>Variante</v>
      </c>
      <c r="G110" s="72" t="s">
        <v>902</v>
      </c>
      <c r="H110" s="72" t="s">
        <v>826</v>
      </c>
      <c r="I110" s="72" t="s">
        <v>86</v>
      </c>
      <c r="K110" s="72" t="s">
        <v>903</v>
      </c>
      <c r="M110" s="150" t="s">
        <v>700</v>
      </c>
      <c r="N110" s="72" t="s">
        <v>713</v>
      </c>
      <c r="O110" s="72" t="s">
        <v>699</v>
      </c>
      <c r="P110" s="72" t="s">
        <v>710</v>
      </c>
      <c r="Q110" s="72" t="s">
        <v>702</v>
      </c>
      <c r="R110" s="72" t="s">
        <v>730</v>
      </c>
      <c r="S110" s="72" t="s">
        <v>701</v>
      </c>
      <c r="T110" s="72" t="s">
        <v>724</v>
      </c>
      <c r="BA110" s="147"/>
      <c r="BF110" s="147"/>
      <c r="BG110" s="83"/>
      <c r="BH110" s="73"/>
      <c r="BI110" s="147"/>
      <c r="BJ110" s="77"/>
      <c r="BK110" s="73"/>
      <c r="BL110" s="73"/>
      <c r="BM110" s="77"/>
      <c r="BN110" s="73"/>
      <c r="BO110" s="73"/>
      <c r="BP110" s="147"/>
      <c r="BQ110" s="83"/>
      <c r="BR110" s="73"/>
      <c r="BS110" s="77"/>
      <c r="BT110" s="147"/>
      <c r="BU110" s="77"/>
      <c r="BV110" s="77"/>
      <c r="BW110" s="83"/>
      <c r="BX110" s="73"/>
      <c r="BY110" s="77"/>
      <c r="BZ110" s="73"/>
      <c r="CA110" s="73"/>
      <c r="CB110" s="77"/>
      <c r="CC110" s="73"/>
      <c r="CD110" s="73"/>
      <c r="CE110" s="83"/>
      <c r="CF110" s="73"/>
      <c r="CG110" s="77"/>
      <c r="CH110" s="147"/>
      <c r="CI110" s="77"/>
      <c r="CJ110" s="77"/>
      <c r="CK110" s="83"/>
      <c r="CL110" s="73"/>
      <c r="CM110" s="77"/>
      <c r="CN110" s="73"/>
      <c r="CO110" s="73"/>
      <c r="CP110" s="77"/>
      <c r="CQ110" s="73"/>
      <c r="CR110" s="73"/>
      <c r="CS110" s="83"/>
      <c r="CT110" s="73"/>
      <c r="CU110" s="77"/>
      <c r="CV110" s="147"/>
      <c r="CW110" s="77"/>
      <c r="CX110" s="77"/>
      <c r="CY110" s="83"/>
      <c r="CZ110" s="73"/>
      <c r="DA110" s="77"/>
      <c r="DB110" s="73"/>
      <c r="DC110" s="73"/>
      <c r="DD110" s="77"/>
      <c r="DE110" s="73"/>
      <c r="DF110" s="73"/>
      <c r="DG110" s="83"/>
      <c r="DH110" s="73"/>
      <c r="DI110" s="77"/>
      <c r="DJ110" s="147"/>
      <c r="DK110" s="77"/>
      <c r="DL110" s="77"/>
      <c r="DM110" s="83"/>
      <c r="DN110" s="73"/>
      <c r="DO110" s="77"/>
      <c r="DP110" s="73"/>
      <c r="DQ110" s="73"/>
      <c r="DR110" s="77"/>
      <c r="DS110" s="73"/>
      <c r="DT110" s="73"/>
      <c r="DU110" s="83"/>
      <c r="DV110" s="73"/>
      <c r="DW110" s="77"/>
      <c r="DX110" s="147"/>
      <c r="DY110" s="77"/>
      <c r="DZ110" s="77"/>
      <c r="EA110" s="83"/>
      <c r="EB110" s="73"/>
      <c r="EC110" s="77"/>
      <c r="ED110" s="73"/>
      <c r="EE110" s="73"/>
      <c r="EF110" s="77"/>
      <c r="EG110" s="73"/>
      <c r="EH110" s="73"/>
      <c r="EI110" s="83"/>
      <c r="EJ110" s="73"/>
      <c r="EK110" s="77"/>
      <c r="EL110" s="147"/>
      <c r="EN110" s="74"/>
      <c r="EO110" s="73"/>
      <c r="ER110" s="75"/>
      <c r="ES110" s="76"/>
      <c r="ET110" s="77"/>
      <c r="EU110" s="77"/>
      <c r="EV110" s="78"/>
      <c r="FA110" s="172"/>
      <c r="FB110" s="163"/>
      <c r="FC110" s="172"/>
      <c r="FH110" s="147"/>
      <c r="FL110" s="71"/>
      <c r="FM110" s="71"/>
      <c r="FN110" s="71"/>
      <c r="FO110" s="71"/>
      <c r="FP110" s="71"/>
      <c r="FQ110" s="71"/>
      <c r="FR110" s="71"/>
      <c r="FS110" s="147"/>
      <c r="FW110" s="71"/>
      <c r="FX110" s="71"/>
      <c r="FY110" s="71"/>
      <c r="FZ110" s="71"/>
      <c r="GA110" s="71"/>
      <c r="GB110" s="71"/>
      <c r="GC110" s="71"/>
      <c r="GD110" s="71"/>
      <c r="GE110" s="71"/>
      <c r="GF110" s="71"/>
      <c r="GG110" s="71"/>
      <c r="GH110" s="71"/>
      <c r="GI110" s="71"/>
      <c r="GJ110" s="71"/>
      <c r="GK110" s="71"/>
      <c r="GL110" s="71"/>
      <c r="GM110" s="71"/>
      <c r="GN110" s="71"/>
      <c r="GO110" s="71"/>
      <c r="GP110" s="71"/>
      <c r="GQ110" s="71"/>
      <c r="GR110" s="71"/>
      <c r="GS110" s="71"/>
      <c r="GT110" s="71"/>
      <c r="GU110" s="71"/>
      <c r="GV110" s="71"/>
      <c r="GW110" s="71"/>
      <c r="GX110" s="71"/>
      <c r="GY110" s="71"/>
      <c r="GZ110" s="71"/>
      <c r="HA110" s="71"/>
      <c r="HB110" s="71"/>
      <c r="HC110" s="71"/>
      <c r="HD110" s="71"/>
      <c r="HM110" s="83">
        <v>151.26050000000001</v>
      </c>
      <c r="HN110" s="73" t="str">
        <f>mehrsprachigkeitBegriffsrückgabe(gewählteSpracheZurückgeben(), "Fixed price")</f>
        <v>Anpassung mit fixem Preis</v>
      </c>
      <c r="HW110" s="83">
        <v>151.26050000000001</v>
      </c>
      <c r="HX110" s="73" t="str">
        <f>mehrsprachigkeitBegriffsrückgabe(gewählteSpracheZurückgeben(), "Fixed price")</f>
        <v>Anpassung mit fixem Preis</v>
      </c>
      <c r="HY110" s="77">
        <v>1</v>
      </c>
      <c r="KT110" s="74">
        <v>0</v>
      </c>
      <c r="KU110" s="73" t="str">
        <f>mehrsprachigkeitBegriffsrückgabe(gewählteSpracheZurückgeben(), "Percent")</f>
        <v>Prozentuale Anpassung</v>
      </c>
      <c r="KX110" s="75">
        <v>0</v>
      </c>
      <c r="LH110" s="72" t="s">
        <v>767</v>
      </c>
      <c r="LI110" s="72" t="s">
        <v>744</v>
      </c>
    </row>
    <row r="111" spans="1:321" ht="15.95" customHeight="1" x14ac:dyDescent="0.25">
      <c r="B111" s="162"/>
      <c r="C111" s="162"/>
      <c r="D111" s="162"/>
      <c r="F111" s="71" t="str">
        <f>mehrsprachigkeitBegriffsrückgabe(gewählteSpracheZurückgeben(), "Variant (foreign language)")</f>
        <v>Variante (Fremdsprache)</v>
      </c>
      <c r="H111" s="72" t="s">
        <v>902</v>
      </c>
      <c r="I111" s="72" t="s">
        <v>94</v>
      </c>
      <c r="BA111" s="147"/>
      <c r="BF111" s="147"/>
      <c r="BG111" s="83"/>
      <c r="BH111" s="73"/>
      <c r="BI111" s="147"/>
      <c r="BJ111" s="77"/>
      <c r="BK111" s="73"/>
      <c r="BL111" s="73"/>
      <c r="BM111" s="77"/>
      <c r="BN111" s="73"/>
      <c r="BO111" s="73"/>
      <c r="BP111" s="147"/>
      <c r="BQ111" s="83"/>
      <c r="BR111" s="73"/>
      <c r="BS111" s="77"/>
      <c r="BT111" s="147"/>
      <c r="BU111" s="77"/>
      <c r="BV111" s="77"/>
      <c r="BW111" s="83"/>
      <c r="BX111" s="73"/>
      <c r="BY111" s="77"/>
      <c r="BZ111" s="73"/>
      <c r="CA111" s="73"/>
      <c r="CB111" s="77"/>
      <c r="CC111" s="73"/>
      <c r="CD111" s="73"/>
      <c r="CE111" s="83"/>
      <c r="CF111" s="73"/>
      <c r="CG111" s="77"/>
      <c r="CH111" s="147"/>
      <c r="CI111" s="77"/>
      <c r="CJ111" s="77"/>
      <c r="CK111" s="83"/>
      <c r="CL111" s="73"/>
      <c r="CM111" s="77"/>
      <c r="CN111" s="73"/>
      <c r="CO111" s="73"/>
      <c r="CP111" s="77"/>
      <c r="CQ111" s="73"/>
      <c r="CR111" s="73"/>
      <c r="CS111" s="83"/>
      <c r="CT111" s="73"/>
      <c r="CU111" s="77"/>
      <c r="CV111" s="147"/>
      <c r="CW111" s="77"/>
      <c r="CX111" s="77"/>
      <c r="CY111" s="83"/>
      <c r="CZ111" s="73"/>
      <c r="DA111" s="77"/>
      <c r="DB111" s="73"/>
      <c r="DC111" s="73"/>
      <c r="DD111" s="77"/>
      <c r="DE111" s="73"/>
      <c r="DF111" s="73"/>
      <c r="DG111" s="83"/>
      <c r="DH111" s="73"/>
      <c r="DI111" s="77"/>
      <c r="DJ111" s="147"/>
      <c r="DK111" s="77"/>
      <c r="DL111" s="77"/>
      <c r="DM111" s="83"/>
      <c r="DN111" s="73"/>
      <c r="DO111" s="77"/>
      <c r="DP111" s="73"/>
      <c r="DQ111" s="73"/>
      <c r="DR111" s="77"/>
      <c r="DS111" s="73"/>
      <c r="DT111" s="73"/>
      <c r="DU111" s="83"/>
      <c r="DV111" s="73"/>
      <c r="DW111" s="77"/>
      <c r="DX111" s="147"/>
      <c r="DY111" s="77"/>
      <c r="DZ111" s="77"/>
      <c r="EA111" s="83"/>
      <c r="EB111" s="73"/>
      <c r="EC111" s="77"/>
      <c r="ED111" s="73"/>
      <c r="EE111" s="73"/>
      <c r="EF111" s="77"/>
      <c r="EG111" s="73"/>
      <c r="EH111" s="73"/>
      <c r="EI111" s="83"/>
      <c r="EJ111" s="73"/>
      <c r="EK111" s="77"/>
      <c r="EL111" s="147"/>
      <c r="EN111" s="74"/>
      <c r="EO111" s="73"/>
      <c r="ER111" s="75"/>
      <c r="ES111" s="76"/>
      <c r="ET111" s="77"/>
      <c r="EU111" s="77"/>
      <c r="EV111" s="78"/>
      <c r="FA111" s="172"/>
      <c r="FB111" s="163"/>
      <c r="FC111" s="172"/>
      <c r="FH111" s="147"/>
      <c r="FL111" s="71"/>
      <c r="FM111" s="71"/>
      <c r="FN111" s="71"/>
      <c r="FO111" s="71"/>
      <c r="FP111" s="71"/>
      <c r="FQ111" s="71"/>
      <c r="FR111" s="71"/>
      <c r="FS111" s="147"/>
      <c r="FW111" s="71"/>
      <c r="FX111" s="71"/>
      <c r="FY111" s="71"/>
      <c r="FZ111" s="71"/>
      <c r="GA111" s="71"/>
      <c r="GB111" s="71"/>
      <c r="GC111" s="71"/>
      <c r="GD111" s="71"/>
      <c r="GE111" s="71"/>
      <c r="GF111" s="71"/>
      <c r="GG111" s="71"/>
      <c r="GH111" s="71"/>
      <c r="GI111" s="71"/>
      <c r="GJ111" s="71"/>
      <c r="GK111" s="71"/>
      <c r="GL111" s="71"/>
      <c r="GM111" s="71"/>
      <c r="GN111" s="71"/>
      <c r="GO111" s="71"/>
      <c r="GP111" s="71"/>
      <c r="GQ111" s="71"/>
      <c r="GR111" s="71"/>
      <c r="GS111" s="71"/>
      <c r="GT111" s="71"/>
      <c r="GU111" s="71"/>
      <c r="GV111" s="71"/>
      <c r="GW111" s="71"/>
      <c r="GX111" s="71"/>
      <c r="GY111" s="71"/>
      <c r="GZ111" s="71"/>
      <c r="HA111" s="71"/>
      <c r="HB111" s="71"/>
      <c r="HC111" s="71"/>
      <c r="HD111" s="71"/>
    </row>
    <row r="112" spans="1:321" ht="15.95" customHeight="1" x14ac:dyDescent="0.25">
      <c r="A112" s="71">
        <v>4864</v>
      </c>
      <c r="B112" s="162"/>
      <c r="C112" s="162"/>
      <c r="D112" s="162">
        <v>1</v>
      </c>
      <c r="F112" s="71" t="str">
        <f>mehrsprachigkeitBegriffsrückgabe(gewählteSpracheZurückgeben(), "Variant")</f>
        <v>Variante</v>
      </c>
      <c r="G112" s="72" t="s">
        <v>904</v>
      </c>
      <c r="H112" s="72" t="s">
        <v>826</v>
      </c>
      <c r="I112" s="72" t="s">
        <v>86</v>
      </c>
      <c r="K112" s="72" t="s">
        <v>905</v>
      </c>
      <c r="M112" s="150" t="s">
        <v>700</v>
      </c>
      <c r="N112" s="72" t="s">
        <v>713</v>
      </c>
      <c r="O112" s="72" t="s">
        <v>699</v>
      </c>
      <c r="P112" s="72" t="s">
        <v>709</v>
      </c>
      <c r="Q112" s="72" t="s">
        <v>702</v>
      </c>
      <c r="R112" s="72" t="s">
        <v>730</v>
      </c>
      <c r="S112" s="72" t="s">
        <v>701</v>
      </c>
      <c r="T112" s="72" t="s">
        <v>724</v>
      </c>
      <c r="BA112" s="147"/>
      <c r="BF112" s="147"/>
      <c r="BG112" s="83"/>
      <c r="BH112" s="73"/>
      <c r="BI112" s="147"/>
      <c r="BJ112" s="77"/>
      <c r="BK112" s="73"/>
      <c r="BL112" s="73"/>
      <c r="BM112" s="77"/>
      <c r="BN112" s="73"/>
      <c r="BO112" s="73"/>
      <c r="BP112" s="147"/>
      <c r="BQ112" s="83"/>
      <c r="BR112" s="73"/>
      <c r="BS112" s="77"/>
      <c r="BT112" s="147"/>
      <c r="BU112" s="77"/>
      <c r="BV112" s="77"/>
      <c r="BW112" s="83"/>
      <c r="BX112" s="73"/>
      <c r="BY112" s="77"/>
      <c r="BZ112" s="73"/>
      <c r="CA112" s="73"/>
      <c r="CB112" s="77"/>
      <c r="CC112" s="73"/>
      <c r="CD112" s="73"/>
      <c r="CE112" s="83"/>
      <c r="CF112" s="73"/>
      <c r="CG112" s="77"/>
      <c r="CH112" s="147"/>
      <c r="CI112" s="77"/>
      <c r="CJ112" s="77"/>
      <c r="CK112" s="83"/>
      <c r="CL112" s="73"/>
      <c r="CM112" s="77"/>
      <c r="CN112" s="73"/>
      <c r="CO112" s="73"/>
      <c r="CP112" s="77"/>
      <c r="CQ112" s="73"/>
      <c r="CR112" s="73"/>
      <c r="CS112" s="83"/>
      <c r="CT112" s="73"/>
      <c r="CU112" s="77"/>
      <c r="CV112" s="147"/>
      <c r="CW112" s="77"/>
      <c r="CX112" s="77"/>
      <c r="CY112" s="83"/>
      <c r="CZ112" s="73"/>
      <c r="DA112" s="77"/>
      <c r="DB112" s="73"/>
      <c r="DC112" s="73"/>
      <c r="DD112" s="77"/>
      <c r="DE112" s="73"/>
      <c r="DF112" s="73"/>
      <c r="DG112" s="83"/>
      <c r="DH112" s="73"/>
      <c r="DI112" s="77"/>
      <c r="DJ112" s="147"/>
      <c r="DK112" s="77"/>
      <c r="DL112" s="77"/>
      <c r="DM112" s="83"/>
      <c r="DN112" s="73"/>
      <c r="DO112" s="77"/>
      <c r="DP112" s="73"/>
      <c r="DQ112" s="73"/>
      <c r="DR112" s="77"/>
      <c r="DS112" s="73"/>
      <c r="DT112" s="73"/>
      <c r="DU112" s="83"/>
      <c r="DV112" s="73"/>
      <c r="DW112" s="77"/>
      <c r="DX112" s="147"/>
      <c r="DY112" s="77"/>
      <c r="DZ112" s="77"/>
      <c r="EA112" s="83"/>
      <c r="EB112" s="73"/>
      <c r="EC112" s="77"/>
      <c r="ED112" s="73"/>
      <c r="EE112" s="73"/>
      <c r="EF112" s="77"/>
      <c r="EG112" s="73"/>
      <c r="EH112" s="73"/>
      <c r="EI112" s="83"/>
      <c r="EJ112" s="73"/>
      <c r="EK112" s="77"/>
      <c r="EL112" s="147"/>
      <c r="EN112" s="74"/>
      <c r="EO112" s="73"/>
      <c r="ER112" s="75"/>
      <c r="ES112" s="76"/>
      <c r="ET112" s="77"/>
      <c r="EU112" s="77"/>
      <c r="EV112" s="78"/>
      <c r="FA112" s="172"/>
      <c r="FB112" s="163"/>
      <c r="FC112" s="172"/>
      <c r="FH112" s="147"/>
      <c r="FL112" s="71"/>
      <c r="FM112" s="71"/>
      <c r="FN112" s="71"/>
      <c r="FO112" s="71"/>
      <c r="FP112" s="71"/>
      <c r="FQ112" s="71"/>
      <c r="FR112" s="71"/>
      <c r="FS112" s="147"/>
      <c r="FW112" s="71"/>
      <c r="FX112" s="71"/>
      <c r="FY112" s="71"/>
      <c r="FZ112" s="71"/>
      <c r="GA112" s="71"/>
      <c r="GB112" s="71"/>
      <c r="GC112" s="71"/>
      <c r="GD112" s="71"/>
      <c r="GE112" s="71"/>
      <c r="GF112" s="71"/>
      <c r="GG112" s="71"/>
      <c r="GH112" s="71"/>
      <c r="GI112" s="71"/>
      <c r="GJ112" s="71"/>
      <c r="GK112" s="71"/>
      <c r="GL112" s="71"/>
      <c r="GM112" s="71"/>
      <c r="GN112" s="71"/>
      <c r="GO112" s="71"/>
      <c r="GP112" s="71"/>
      <c r="GQ112" s="71"/>
      <c r="GR112" s="71"/>
      <c r="GS112" s="71"/>
      <c r="GT112" s="71"/>
      <c r="GU112" s="71"/>
      <c r="GV112" s="71"/>
      <c r="GW112" s="71"/>
      <c r="GX112" s="71"/>
      <c r="GY112" s="71"/>
      <c r="GZ112" s="71"/>
      <c r="HA112" s="71"/>
      <c r="HB112" s="71"/>
      <c r="HC112" s="71"/>
      <c r="HD112" s="71"/>
      <c r="HM112" s="83">
        <v>151.26050000000001</v>
      </c>
      <c r="HN112" s="73" t="str">
        <f>mehrsprachigkeitBegriffsrückgabe(gewählteSpracheZurückgeben(), "Fixed price")</f>
        <v>Anpassung mit fixem Preis</v>
      </c>
      <c r="HW112" s="83">
        <v>151.26050000000001</v>
      </c>
      <c r="HX112" s="73" t="str">
        <f>mehrsprachigkeitBegriffsrückgabe(gewählteSpracheZurückgeben(), "Fixed price")</f>
        <v>Anpassung mit fixem Preis</v>
      </c>
      <c r="HY112" s="77">
        <v>1</v>
      </c>
      <c r="KT112" s="74">
        <v>0</v>
      </c>
      <c r="KU112" s="73" t="str">
        <f>mehrsprachigkeitBegriffsrückgabe(gewählteSpracheZurückgeben(), "Percent")</f>
        <v>Prozentuale Anpassung</v>
      </c>
      <c r="KX112" s="75">
        <v>0</v>
      </c>
      <c r="LH112" s="72" t="s">
        <v>767</v>
      </c>
      <c r="LI112" s="72" t="s">
        <v>744</v>
      </c>
    </row>
    <row r="113" spans="1:330" ht="15.95" customHeight="1" x14ac:dyDescent="0.25">
      <c r="B113" s="162"/>
      <c r="C113" s="162"/>
      <c r="D113" s="162"/>
      <c r="F113" s="71" t="str">
        <f>mehrsprachigkeitBegriffsrückgabe(gewählteSpracheZurückgeben(), "Variant (foreign language)")</f>
        <v>Variante (Fremdsprache)</v>
      </c>
      <c r="H113" s="72" t="s">
        <v>904</v>
      </c>
      <c r="I113" s="72" t="s">
        <v>94</v>
      </c>
      <c r="BA113" s="147"/>
      <c r="BF113" s="147"/>
      <c r="BG113" s="83"/>
      <c r="BH113" s="73"/>
      <c r="BI113" s="147"/>
      <c r="BJ113" s="77"/>
      <c r="BK113" s="73"/>
      <c r="BL113" s="73"/>
      <c r="BM113" s="77"/>
      <c r="BN113" s="73"/>
      <c r="BO113" s="73"/>
      <c r="BP113" s="147"/>
      <c r="BQ113" s="83"/>
      <c r="BR113" s="73"/>
      <c r="BS113" s="77"/>
      <c r="BT113" s="147"/>
      <c r="BU113" s="77"/>
      <c r="BV113" s="77"/>
      <c r="BW113" s="83"/>
      <c r="BX113" s="73"/>
      <c r="BY113" s="77"/>
      <c r="BZ113" s="73"/>
      <c r="CA113" s="73"/>
      <c r="CB113" s="77"/>
      <c r="CC113" s="73"/>
      <c r="CD113" s="73"/>
      <c r="CE113" s="83"/>
      <c r="CF113" s="73"/>
      <c r="CG113" s="77"/>
      <c r="CH113" s="147"/>
      <c r="CI113" s="77"/>
      <c r="CJ113" s="77"/>
      <c r="CK113" s="83"/>
      <c r="CL113" s="73"/>
      <c r="CM113" s="77"/>
      <c r="CN113" s="73"/>
      <c r="CO113" s="73"/>
      <c r="CP113" s="77"/>
      <c r="CQ113" s="73"/>
      <c r="CR113" s="73"/>
      <c r="CS113" s="83"/>
      <c r="CT113" s="73"/>
      <c r="CU113" s="77"/>
      <c r="CV113" s="147"/>
      <c r="CW113" s="77"/>
      <c r="CX113" s="77"/>
      <c r="CY113" s="83"/>
      <c r="CZ113" s="73"/>
      <c r="DA113" s="77"/>
      <c r="DB113" s="73"/>
      <c r="DC113" s="73"/>
      <c r="DD113" s="77"/>
      <c r="DE113" s="73"/>
      <c r="DF113" s="73"/>
      <c r="DG113" s="83"/>
      <c r="DH113" s="73"/>
      <c r="DI113" s="77"/>
      <c r="DJ113" s="147"/>
      <c r="DK113" s="77"/>
      <c r="DL113" s="77"/>
      <c r="DM113" s="83"/>
      <c r="DN113" s="73"/>
      <c r="DO113" s="77"/>
      <c r="DP113" s="73"/>
      <c r="DQ113" s="73"/>
      <c r="DR113" s="77"/>
      <c r="DS113" s="73"/>
      <c r="DT113" s="73"/>
      <c r="DU113" s="83"/>
      <c r="DV113" s="73"/>
      <c r="DW113" s="77"/>
      <c r="DX113" s="147"/>
      <c r="DY113" s="77"/>
      <c r="DZ113" s="77"/>
      <c r="EA113" s="83"/>
      <c r="EB113" s="73"/>
      <c r="EC113" s="77"/>
      <c r="ED113" s="73"/>
      <c r="EE113" s="73"/>
      <c r="EF113" s="77"/>
      <c r="EG113" s="73"/>
      <c r="EH113" s="73"/>
      <c r="EI113" s="83"/>
      <c r="EJ113" s="73"/>
      <c r="EK113" s="77"/>
      <c r="EL113" s="147"/>
      <c r="EN113" s="74"/>
      <c r="EO113" s="73"/>
      <c r="ER113" s="75"/>
      <c r="ES113" s="76"/>
      <c r="ET113" s="77"/>
      <c r="EU113" s="77"/>
      <c r="EV113" s="78"/>
      <c r="FA113" s="172"/>
      <c r="FB113" s="163"/>
      <c r="FC113" s="172"/>
      <c r="FH113" s="147"/>
      <c r="FL113" s="71"/>
      <c r="FM113" s="71"/>
      <c r="FN113" s="71"/>
      <c r="FO113" s="71"/>
      <c r="FP113" s="71"/>
      <c r="FQ113" s="71"/>
      <c r="FR113" s="71"/>
      <c r="FS113" s="147"/>
      <c r="FW113" s="71"/>
      <c r="FX113" s="71"/>
      <c r="FY113" s="71"/>
      <c r="FZ113" s="71"/>
      <c r="GA113" s="71"/>
      <c r="GB113" s="71"/>
      <c r="GC113" s="71"/>
      <c r="GD113" s="71"/>
      <c r="GE113" s="71"/>
      <c r="GF113" s="71"/>
      <c r="GG113" s="71"/>
      <c r="GH113" s="71"/>
      <c r="GI113" s="71"/>
      <c r="GJ113" s="71"/>
      <c r="GK113" s="71"/>
      <c r="GL113" s="71"/>
      <c r="GM113" s="71"/>
      <c r="GN113" s="71"/>
      <c r="GO113" s="71"/>
      <c r="GP113" s="71"/>
      <c r="GQ113" s="71"/>
      <c r="GR113" s="71"/>
      <c r="GS113" s="71"/>
      <c r="GT113" s="71"/>
      <c r="GU113" s="71"/>
      <c r="GV113" s="71"/>
      <c r="GW113" s="71"/>
      <c r="GX113" s="71"/>
      <c r="GY113" s="71"/>
      <c r="GZ113" s="71"/>
      <c r="HA113" s="71"/>
      <c r="HB113" s="71"/>
      <c r="HC113" s="71"/>
      <c r="HD113" s="71"/>
    </row>
    <row r="114" spans="1:330" ht="15.95" customHeight="1" x14ac:dyDescent="0.25">
      <c r="A114" s="71">
        <v>4992</v>
      </c>
      <c r="B114" s="162"/>
      <c r="C114" s="162"/>
      <c r="D114" s="162">
        <v>1</v>
      </c>
      <c r="F114" s="71" t="str">
        <f>mehrsprachigkeitBegriffsrückgabe(gewählteSpracheZurückgeben(), "Variant")</f>
        <v>Variante</v>
      </c>
      <c r="G114" s="72" t="s">
        <v>906</v>
      </c>
      <c r="H114" s="72" t="s">
        <v>826</v>
      </c>
      <c r="I114" s="72" t="s">
        <v>86</v>
      </c>
      <c r="K114" s="72" t="s">
        <v>907</v>
      </c>
      <c r="M114" s="150" t="s">
        <v>700</v>
      </c>
      <c r="N114" s="72" t="s">
        <v>715</v>
      </c>
      <c r="O114" s="72" t="s">
        <v>699</v>
      </c>
      <c r="P114" s="72" t="s">
        <v>710</v>
      </c>
      <c r="Q114" s="72" t="s">
        <v>702</v>
      </c>
      <c r="R114" s="72" t="s">
        <v>730</v>
      </c>
      <c r="S114" s="72" t="s">
        <v>701</v>
      </c>
      <c r="T114" s="72" t="s">
        <v>724</v>
      </c>
      <c r="BA114" s="147"/>
      <c r="BF114" s="147"/>
      <c r="BG114" s="83"/>
      <c r="BH114" s="73"/>
      <c r="BI114" s="147"/>
      <c r="BJ114" s="77"/>
      <c r="BK114" s="73"/>
      <c r="BL114" s="73"/>
      <c r="BM114" s="77"/>
      <c r="BN114" s="73"/>
      <c r="BO114" s="73"/>
      <c r="BP114" s="147"/>
      <c r="BQ114" s="83"/>
      <c r="BR114" s="73"/>
      <c r="BS114" s="77"/>
      <c r="BT114" s="147"/>
      <c r="BU114" s="77"/>
      <c r="BV114" s="77"/>
      <c r="BW114" s="83"/>
      <c r="BX114" s="73"/>
      <c r="BY114" s="77"/>
      <c r="BZ114" s="73"/>
      <c r="CA114" s="73"/>
      <c r="CB114" s="77"/>
      <c r="CC114" s="73"/>
      <c r="CD114" s="73"/>
      <c r="CE114" s="83"/>
      <c r="CF114" s="73"/>
      <c r="CG114" s="77"/>
      <c r="CH114" s="147"/>
      <c r="CI114" s="77"/>
      <c r="CJ114" s="77"/>
      <c r="CK114" s="83"/>
      <c r="CL114" s="73"/>
      <c r="CM114" s="77"/>
      <c r="CN114" s="73"/>
      <c r="CO114" s="73"/>
      <c r="CP114" s="77"/>
      <c r="CQ114" s="73"/>
      <c r="CR114" s="73"/>
      <c r="CS114" s="83"/>
      <c r="CT114" s="73"/>
      <c r="CU114" s="77"/>
      <c r="CV114" s="147"/>
      <c r="CW114" s="77"/>
      <c r="CX114" s="77"/>
      <c r="CY114" s="83"/>
      <c r="CZ114" s="73"/>
      <c r="DA114" s="77"/>
      <c r="DB114" s="73"/>
      <c r="DC114" s="73"/>
      <c r="DD114" s="77"/>
      <c r="DE114" s="73"/>
      <c r="DF114" s="73"/>
      <c r="DG114" s="83"/>
      <c r="DH114" s="73"/>
      <c r="DI114" s="77"/>
      <c r="DJ114" s="147"/>
      <c r="DK114" s="77"/>
      <c r="DL114" s="77"/>
      <c r="DM114" s="83"/>
      <c r="DN114" s="73"/>
      <c r="DO114" s="77"/>
      <c r="DP114" s="73"/>
      <c r="DQ114" s="73"/>
      <c r="DR114" s="77"/>
      <c r="DS114" s="73"/>
      <c r="DT114" s="73"/>
      <c r="DU114" s="83"/>
      <c r="DV114" s="73"/>
      <c r="DW114" s="77"/>
      <c r="DX114" s="147"/>
      <c r="DY114" s="77"/>
      <c r="DZ114" s="77"/>
      <c r="EA114" s="83"/>
      <c r="EB114" s="73"/>
      <c r="EC114" s="77"/>
      <c r="ED114" s="73"/>
      <c r="EE114" s="73"/>
      <c r="EF114" s="77"/>
      <c r="EG114" s="73"/>
      <c r="EH114" s="73"/>
      <c r="EI114" s="83"/>
      <c r="EJ114" s="73"/>
      <c r="EK114" s="77"/>
      <c r="EL114" s="147"/>
      <c r="EN114" s="74"/>
      <c r="EO114" s="73"/>
      <c r="ER114" s="75"/>
      <c r="ES114" s="76"/>
      <c r="ET114" s="77"/>
      <c r="EU114" s="77"/>
      <c r="EV114" s="78"/>
      <c r="FA114" s="172"/>
      <c r="FB114" s="163"/>
      <c r="FC114" s="172"/>
      <c r="FH114" s="147"/>
      <c r="FL114" s="71"/>
      <c r="FM114" s="71"/>
      <c r="FN114" s="71"/>
      <c r="FO114" s="71"/>
      <c r="FP114" s="71"/>
      <c r="FQ114" s="71"/>
      <c r="FR114" s="71"/>
      <c r="FS114" s="147"/>
      <c r="FW114" s="71"/>
      <c r="FX114" s="71"/>
      <c r="FY114" s="71"/>
      <c r="FZ114" s="71"/>
      <c r="GA114" s="71"/>
      <c r="GB114" s="71"/>
      <c r="GC114" s="71"/>
      <c r="GD114" s="71"/>
      <c r="GE114" s="71"/>
      <c r="GF114" s="71"/>
      <c r="GG114" s="71"/>
      <c r="GH114" s="71"/>
      <c r="GI114" s="71"/>
      <c r="GJ114" s="71"/>
      <c r="GK114" s="71"/>
      <c r="GL114" s="71"/>
      <c r="GM114" s="71"/>
      <c r="GN114" s="71"/>
      <c r="GO114" s="71"/>
      <c r="GP114" s="71"/>
      <c r="GQ114" s="71"/>
      <c r="GR114" s="71"/>
      <c r="GS114" s="71"/>
      <c r="GT114" s="71"/>
      <c r="GU114" s="71"/>
      <c r="GV114" s="71"/>
      <c r="GW114" s="71"/>
      <c r="GX114" s="71"/>
      <c r="GY114" s="71"/>
      <c r="GZ114" s="71"/>
      <c r="HA114" s="71"/>
      <c r="HB114" s="71"/>
      <c r="HC114" s="71"/>
      <c r="HD114" s="71"/>
      <c r="HM114" s="83">
        <v>151.26050000000001</v>
      </c>
      <c r="HN114" s="73" t="str">
        <f>mehrsprachigkeitBegriffsrückgabe(gewählteSpracheZurückgeben(), "Fixed price")</f>
        <v>Anpassung mit fixem Preis</v>
      </c>
      <c r="HW114" s="83">
        <v>151.26050000000001</v>
      </c>
      <c r="HX114" s="73" t="str">
        <f>mehrsprachigkeitBegriffsrückgabe(gewählteSpracheZurückgeben(), "Fixed price")</f>
        <v>Anpassung mit fixem Preis</v>
      </c>
      <c r="HY114" s="77">
        <v>1</v>
      </c>
      <c r="KT114" s="74">
        <v>0</v>
      </c>
      <c r="KU114" s="73" t="str">
        <f>mehrsprachigkeitBegriffsrückgabe(gewählteSpracheZurückgeben(), "Percent")</f>
        <v>Prozentuale Anpassung</v>
      </c>
      <c r="KX114" s="75">
        <v>0</v>
      </c>
      <c r="LH114" s="72" t="s">
        <v>767</v>
      </c>
      <c r="LI114" s="72" t="s">
        <v>744</v>
      </c>
    </row>
    <row r="115" spans="1:330" ht="15.95" customHeight="1" x14ac:dyDescent="0.25">
      <c r="B115" s="162"/>
      <c r="C115" s="162"/>
      <c r="D115" s="162"/>
      <c r="F115" s="71" t="str">
        <f>mehrsprachigkeitBegriffsrückgabe(gewählteSpracheZurückgeben(), "Variant (foreign language)")</f>
        <v>Variante (Fremdsprache)</v>
      </c>
      <c r="H115" s="72" t="s">
        <v>906</v>
      </c>
      <c r="I115" s="72" t="s">
        <v>94</v>
      </c>
      <c r="BA115" s="147"/>
      <c r="BF115" s="147"/>
      <c r="BG115" s="83"/>
      <c r="BH115" s="73"/>
      <c r="BI115" s="147"/>
      <c r="BJ115" s="77"/>
      <c r="BK115" s="73"/>
      <c r="BL115" s="73"/>
      <c r="BM115" s="77"/>
      <c r="BN115" s="73"/>
      <c r="BO115" s="73"/>
      <c r="BP115" s="147"/>
      <c r="BQ115" s="83"/>
      <c r="BR115" s="73"/>
      <c r="BS115" s="77"/>
      <c r="BT115" s="147"/>
      <c r="BU115" s="77"/>
      <c r="BV115" s="77"/>
      <c r="BW115" s="83"/>
      <c r="BX115" s="73"/>
      <c r="BY115" s="77"/>
      <c r="BZ115" s="73"/>
      <c r="CA115" s="73"/>
      <c r="CB115" s="77"/>
      <c r="CC115" s="73"/>
      <c r="CD115" s="73"/>
      <c r="CE115" s="83"/>
      <c r="CF115" s="73"/>
      <c r="CG115" s="77"/>
      <c r="CH115" s="147"/>
      <c r="CI115" s="77"/>
      <c r="CJ115" s="77"/>
      <c r="CK115" s="83"/>
      <c r="CL115" s="73"/>
      <c r="CM115" s="77"/>
      <c r="CN115" s="73"/>
      <c r="CO115" s="73"/>
      <c r="CP115" s="77"/>
      <c r="CQ115" s="73"/>
      <c r="CR115" s="73"/>
      <c r="CS115" s="83"/>
      <c r="CT115" s="73"/>
      <c r="CU115" s="77"/>
      <c r="CV115" s="147"/>
      <c r="CW115" s="77"/>
      <c r="CX115" s="77"/>
      <c r="CY115" s="83"/>
      <c r="CZ115" s="73"/>
      <c r="DA115" s="77"/>
      <c r="DB115" s="73"/>
      <c r="DC115" s="73"/>
      <c r="DD115" s="77"/>
      <c r="DE115" s="73"/>
      <c r="DF115" s="73"/>
      <c r="DG115" s="83"/>
      <c r="DH115" s="73"/>
      <c r="DI115" s="77"/>
      <c r="DJ115" s="147"/>
      <c r="DK115" s="77"/>
      <c r="DL115" s="77"/>
      <c r="DM115" s="83"/>
      <c r="DN115" s="73"/>
      <c r="DO115" s="77"/>
      <c r="DP115" s="73"/>
      <c r="DQ115" s="73"/>
      <c r="DR115" s="77"/>
      <c r="DS115" s="73"/>
      <c r="DT115" s="73"/>
      <c r="DU115" s="83"/>
      <c r="DV115" s="73"/>
      <c r="DW115" s="77"/>
      <c r="DX115" s="147"/>
      <c r="DY115" s="77"/>
      <c r="DZ115" s="77"/>
      <c r="EA115" s="83"/>
      <c r="EB115" s="73"/>
      <c r="EC115" s="77"/>
      <c r="ED115" s="73"/>
      <c r="EE115" s="73"/>
      <c r="EF115" s="77"/>
      <c r="EG115" s="73"/>
      <c r="EH115" s="73"/>
      <c r="EI115" s="83"/>
      <c r="EJ115" s="73"/>
      <c r="EK115" s="77"/>
      <c r="EL115" s="147"/>
      <c r="EN115" s="74"/>
      <c r="EO115" s="73"/>
      <c r="ER115" s="75"/>
      <c r="ES115" s="76"/>
      <c r="ET115" s="77"/>
      <c r="EU115" s="77"/>
      <c r="EV115" s="78"/>
      <c r="FA115" s="172"/>
      <c r="FB115" s="163"/>
      <c r="FC115" s="172"/>
      <c r="FH115" s="147"/>
      <c r="FL115" s="71"/>
      <c r="FM115" s="71"/>
      <c r="FN115" s="71"/>
      <c r="FO115" s="71"/>
      <c r="FP115" s="71"/>
      <c r="FQ115" s="71"/>
      <c r="FR115" s="71"/>
      <c r="FS115" s="147"/>
      <c r="FW115" s="71"/>
      <c r="FX115" s="71"/>
      <c r="FY115" s="71"/>
      <c r="FZ115" s="71"/>
      <c r="GA115" s="71"/>
      <c r="GB115" s="71"/>
      <c r="GC115" s="71"/>
      <c r="GD115" s="71"/>
      <c r="GE115" s="71"/>
      <c r="GF115" s="71"/>
      <c r="GG115" s="71"/>
      <c r="GH115" s="71"/>
      <c r="GI115" s="71"/>
      <c r="GJ115" s="71"/>
      <c r="GK115" s="71"/>
      <c r="GL115" s="71"/>
      <c r="GM115" s="71"/>
      <c r="GN115" s="71"/>
      <c r="GO115" s="71"/>
      <c r="GP115" s="71"/>
      <c r="GQ115" s="71"/>
      <c r="GR115" s="71"/>
      <c r="GS115" s="71"/>
      <c r="GT115" s="71"/>
      <c r="GU115" s="71"/>
      <c r="GV115" s="71"/>
      <c r="GW115" s="71"/>
      <c r="GX115" s="71"/>
      <c r="GY115" s="71"/>
      <c r="GZ115" s="71"/>
      <c r="HA115" s="71"/>
      <c r="HB115" s="71"/>
      <c r="HC115" s="71"/>
      <c r="HD115" s="71"/>
    </row>
    <row r="116" spans="1:330" ht="15.95" customHeight="1" x14ac:dyDescent="0.25">
      <c r="A116" s="71">
        <v>5120</v>
      </c>
      <c r="B116" s="162"/>
      <c r="C116" s="162"/>
      <c r="D116" s="162">
        <v>1</v>
      </c>
      <c r="F116" s="71" t="str">
        <f>mehrsprachigkeitBegriffsrückgabe(gewählteSpracheZurückgeben(), "Variant")</f>
        <v>Variante</v>
      </c>
      <c r="G116" s="72" t="s">
        <v>908</v>
      </c>
      <c r="H116" s="72" t="s">
        <v>826</v>
      </c>
      <c r="I116" s="72" t="s">
        <v>86</v>
      </c>
      <c r="K116" s="72" t="s">
        <v>909</v>
      </c>
      <c r="M116" s="150" t="s">
        <v>700</v>
      </c>
      <c r="N116" s="72" t="s">
        <v>715</v>
      </c>
      <c r="O116" s="72" t="s">
        <v>699</v>
      </c>
      <c r="P116" s="72" t="s">
        <v>524</v>
      </c>
      <c r="Q116" s="72" t="s">
        <v>702</v>
      </c>
      <c r="R116" s="72" t="s">
        <v>730</v>
      </c>
      <c r="S116" s="72" t="s">
        <v>701</v>
      </c>
      <c r="T116" s="72" t="s">
        <v>724</v>
      </c>
      <c r="BA116" s="147"/>
      <c r="BF116" s="147"/>
      <c r="BG116" s="83"/>
      <c r="BH116" s="73"/>
      <c r="BI116" s="147"/>
      <c r="BJ116" s="77"/>
      <c r="BK116" s="73"/>
      <c r="BL116" s="73"/>
      <c r="BM116" s="77"/>
      <c r="BN116" s="73"/>
      <c r="BO116" s="73"/>
      <c r="BP116" s="147"/>
      <c r="BQ116" s="83"/>
      <c r="BR116" s="73"/>
      <c r="BS116" s="77"/>
      <c r="BT116" s="147"/>
      <c r="BU116" s="77"/>
      <c r="BV116" s="77"/>
      <c r="BW116" s="83"/>
      <c r="BX116" s="73"/>
      <c r="BY116" s="77"/>
      <c r="BZ116" s="73"/>
      <c r="CA116" s="73"/>
      <c r="CB116" s="77"/>
      <c r="CC116" s="73"/>
      <c r="CD116" s="73"/>
      <c r="CE116" s="83"/>
      <c r="CF116" s="73"/>
      <c r="CG116" s="77"/>
      <c r="CH116" s="147"/>
      <c r="CI116" s="77"/>
      <c r="CJ116" s="77"/>
      <c r="CK116" s="83"/>
      <c r="CL116" s="73"/>
      <c r="CM116" s="77"/>
      <c r="CN116" s="73"/>
      <c r="CO116" s="73"/>
      <c r="CP116" s="77"/>
      <c r="CQ116" s="73"/>
      <c r="CR116" s="73"/>
      <c r="CS116" s="83"/>
      <c r="CT116" s="73"/>
      <c r="CU116" s="77"/>
      <c r="CV116" s="147"/>
      <c r="CW116" s="77"/>
      <c r="CX116" s="77"/>
      <c r="CY116" s="83"/>
      <c r="CZ116" s="73"/>
      <c r="DA116" s="77"/>
      <c r="DB116" s="73"/>
      <c r="DC116" s="73"/>
      <c r="DD116" s="77"/>
      <c r="DE116" s="73"/>
      <c r="DF116" s="73"/>
      <c r="DG116" s="83"/>
      <c r="DH116" s="73"/>
      <c r="DI116" s="77"/>
      <c r="DJ116" s="147"/>
      <c r="DK116" s="77"/>
      <c r="DL116" s="77"/>
      <c r="DM116" s="83"/>
      <c r="DN116" s="73"/>
      <c r="DO116" s="77"/>
      <c r="DP116" s="73"/>
      <c r="DQ116" s="73"/>
      <c r="DR116" s="77"/>
      <c r="DS116" s="73"/>
      <c r="DT116" s="73"/>
      <c r="DU116" s="83"/>
      <c r="DV116" s="73"/>
      <c r="DW116" s="77"/>
      <c r="DX116" s="147"/>
      <c r="DY116" s="77"/>
      <c r="DZ116" s="77"/>
      <c r="EA116" s="83"/>
      <c r="EB116" s="73"/>
      <c r="EC116" s="77"/>
      <c r="ED116" s="73"/>
      <c r="EE116" s="73"/>
      <c r="EF116" s="77"/>
      <c r="EG116" s="73"/>
      <c r="EH116" s="73"/>
      <c r="EI116" s="83"/>
      <c r="EJ116" s="73"/>
      <c r="EK116" s="77"/>
      <c r="EL116" s="147"/>
      <c r="EN116" s="74"/>
      <c r="EO116" s="73"/>
      <c r="ER116" s="75"/>
      <c r="ES116" s="76"/>
      <c r="ET116" s="77"/>
      <c r="EU116" s="77"/>
      <c r="EV116" s="78"/>
      <c r="FA116" s="172"/>
      <c r="FB116" s="163"/>
      <c r="FC116" s="172"/>
      <c r="FH116" s="147"/>
      <c r="FL116" s="71"/>
      <c r="FM116" s="71"/>
      <c r="FN116" s="71"/>
      <c r="FO116" s="71"/>
      <c r="FP116" s="71"/>
      <c r="FQ116" s="71"/>
      <c r="FR116" s="71"/>
      <c r="FS116" s="147"/>
      <c r="FW116" s="71"/>
      <c r="FX116" s="71"/>
      <c r="FY116" s="71"/>
      <c r="FZ116" s="71"/>
      <c r="GA116" s="71"/>
      <c r="GB116" s="71"/>
      <c r="GC116" s="71"/>
      <c r="GD116" s="71"/>
      <c r="GE116" s="71"/>
      <c r="GF116" s="71"/>
      <c r="GG116" s="71"/>
      <c r="GH116" s="71"/>
      <c r="GI116" s="71"/>
      <c r="GJ116" s="71"/>
      <c r="GK116" s="71"/>
      <c r="GL116" s="71"/>
      <c r="GM116" s="71"/>
      <c r="GN116" s="71"/>
      <c r="GO116" s="71"/>
      <c r="GP116" s="71"/>
      <c r="GQ116" s="71"/>
      <c r="GR116" s="71"/>
      <c r="GS116" s="71"/>
      <c r="GT116" s="71"/>
      <c r="GU116" s="71"/>
      <c r="GV116" s="71"/>
      <c r="GW116" s="71"/>
      <c r="GX116" s="71"/>
      <c r="GY116" s="71"/>
      <c r="GZ116" s="71"/>
      <c r="HA116" s="71"/>
      <c r="HB116" s="71"/>
      <c r="HC116" s="71"/>
      <c r="HD116" s="71"/>
      <c r="HM116" s="83">
        <v>151.26050000000001</v>
      </c>
      <c r="HN116" s="73" t="str">
        <f>mehrsprachigkeitBegriffsrückgabe(gewählteSpracheZurückgeben(), "Fixed price")</f>
        <v>Anpassung mit fixem Preis</v>
      </c>
      <c r="HW116" s="83">
        <v>151.26050000000001</v>
      </c>
      <c r="HX116" s="73" t="str">
        <f>mehrsprachigkeitBegriffsrückgabe(gewählteSpracheZurückgeben(), "Fixed price")</f>
        <v>Anpassung mit fixem Preis</v>
      </c>
      <c r="HY116" s="77">
        <v>1</v>
      </c>
      <c r="KT116" s="74">
        <v>0</v>
      </c>
      <c r="KU116" s="73" t="str">
        <f>mehrsprachigkeitBegriffsrückgabe(gewählteSpracheZurückgeben(), "Percent")</f>
        <v>Prozentuale Anpassung</v>
      </c>
      <c r="KX116" s="75">
        <v>0</v>
      </c>
      <c r="LH116" s="72" t="s">
        <v>767</v>
      </c>
      <c r="LI116" s="72" t="s">
        <v>744</v>
      </c>
    </row>
    <row r="117" spans="1:330" ht="15.95" customHeight="1" x14ac:dyDescent="0.25">
      <c r="B117" s="162"/>
      <c r="C117" s="162"/>
      <c r="D117" s="162"/>
      <c r="F117" s="71" t="str">
        <f>mehrsprachigkeitBegriffsrückgabe(gewählteSpracheZurückgeben(), "Variant (foreign language)")</f>
        <v>Variante (Fremdsprache)</v>
      </c>
      <c r="H117" s="72" t="s">
        <v>908</v>
      </c>
      <c r="I117" s="72" t="s">
        <v>94</v>
      </c>
      <c r="BA117" s="147"/>
      <c r="BF117" s="147"/>
      <c r="BG117" s="83"/>
      <c r="BH117" s="73"/>
      <c r="BI117" s="147"/>
      <c r="BJ117" s="77"/>
      <c r="BK117" s="73"/>
      <c r="BL117" s="73"/>
      <c r="BM117" s="77"/>
      <c r="BN117" s="73"/>
      <c r="BO117" s="73"/>
      <c r="BP117" s="147"/>
      <c r="BQ117" s="83"/>
      <c r="BR117" s="73"/>
      <c r="BS117" s="77"/>
      <c r="BT117" s="147"/>
      <c r="BU117" s="77"/>
      <c r="BV117" s="77"/>
      <c r="BW117" s="83"/>
      <c r="BX117" s="73"/>
      <c r="BY117" s="77"/>
      <c r="BZ117" s="73"/>
      <c r="CA117" s="73"/>
      <c r="CB117" s="77"/>
      <c r="CC117" s="73"/>
      <c r="CD117" s="73"/>
      <c r="CE117" s="83"/>
      <c r="CF117" s="73"/>
      <c r="CG117" s="77"/>
      <c r="CH117" s="147"/>
      <c r="CI117" s="77"/>
      <c r="CJ117" s="77"/>
      <c r="CK117" s="83"/>
      <c r="CL117" s="73"/>
      <c r="CM117" s="77"/>
      <c r="CN117" s="73"/>
      <c r="CO117" s="73"/>
      <c r="CP117" s="77"/>
      <c r="CQ117" s="73"/>
      <c r="CR117" s="73"/>
      <c r="CS117" s="83"/>
      <c r="CT117" s="73"/>
      <c r="CU117" s="77"/>
      <c r="CV117" s="147"/>
      <c r="CW117" s="77"/>
      <c r="CX117" s="77"/>
      <c r="CY117" s="83"/>
      <c r="CZ117" s="73"/>
      <c r="DA117" s="77"/>
      <c r="DB117" s="73"/>
      <c r="DC117" s="73"/>
      <c r="DD117" s="77"/>
      <c r="DE117" s="73"/>
      <c r="DF117" s="73"/>
      <c r="DG117" s="83"/>
      <c r="DH117" s="73"/>
      <c r="DI117" s="77"/>
      <c r="DJ117" s="147"/>
      <c r="DK117" s="77"/>
      <c r="DL117" s="77"/>
      <c r="DM117" s="83"/>
      <c r="DN117" s="73"/>
      <c r="DO117" s="77"/>
      <c r="DP117" s="73"/>
      <c r="DQ117" s="73"/>
      <c r="DR117" s="77"/>
      <c r="DS117" s="73"/>
      <c r="DT117" s="73"/>
      <c r="DU117" s="83"/>
      <c r="DV117" s="73"/>
      <c r="DW117" s="77"/>
      <c r="DX117" s="147"/>
      <c r="DY117" s="77"/>
      <c r="DZ117" s="77"/>
      <c r="EA117" s="83"/>
      <c r="EB117" s="73"/>
      <c r="EC117" s="77"/>
      <c r="ED117" s="73"/>
      <c r="EE117" s="73"/>
      <c r="EF117" s="77"/>
      <c r="EG117" s="73"/>
      <c r="EH117" s="73"/>
      <c r="EI117" s="83"/>
      <c r="EJ117" s="73"/>
      <c r="EK117" s="77"/>
      <c r="EL117" s="147"/>
      <c r="EN117" s="74"/>
      <c r="EO117" s="73"/>
      <c r="ER117" s="75"/>
      <c r="ES117" s="76"/>
      <c r="ET117" s="77"/>
      <c r="EU117" s="77"/>
      <c r="EV117" s="78"/>
      <c r="FA117" s="172"/>
      <c r="FB117" s="163"/>
      <c r="FC117" s="172"/>
      <c r="FH117" s="147"/>
      <c r="FL117" s="71"/>
      <c r="FM117" s="71"/>
      <c r="FN117" s="71"/>
      <c r="FO117" s="71"/>
      <c r="FP117" s="71"/>
      <c r="FQ117" s="71"/>
      <c r="FR117" s="71"/>
      <c r="FS117" s="147"/>
      <c r="FW117" s="71"/>
      <c r="FX117" s="71"/>
      <c r="FY117" s="71"/>
      <c r="FZ117" s="71"/>
      <c r="GA117" s="71"/>
      <c r="GB117" s="71"/>
      <c r="GC117" s="71"/>
      <c r="GD117" s="71"/>
      <c r="GE117" s="71"/>
      <c r="GF117" s="71"/>
      <c r="GG117" s="71"/>
      <c r="GH117" s="71"/>
      <c r="GI117" s="71"/>
      <c r="GJ117" s="71"/>
      <c r="GK117" s="71"/>
      <c r="GL117" s="71"/>
      <c r="GM117" s="71"/>
      <c r="GN117" s="71"/>
      <c r="GO117" s="71"/>
      <c r="GP117" s="71"/>
      <c r="GQ117" s="71"/>
      <c r="GR117" s="71"/>
      <c r="GS117" s="71"/>
      <c r="GT117" s="71"/>
      <c r="GU117" s="71"/>
      <c r="GV117" s="71"/>
      <c r="GW117" s="71"/>
      <c r="GX117" s="71"/>
      <c r="GY117" s="71"/>
      <c r="GZ117" s="71"/>
      <c r="HA117" s="71"/>
      <c r="HB117" s="71"/>
      <c r="HC117" s="71"/>
      <c r="HD117" s="71"/>
    </row>
    <row r="118" spans="1:330" ht="25.5" x14ac:dyDescent="0.25">
      <c r="A118" s="71">
        <v>5200</v>
      </c>
      <c r="D118" s="70">
        <v>1</v>
      </c>
      <c r="F118" s="71" t="s">
        <v>919</v>
      </c>
      <c r="G118" s="72" t="s">
        <v>920</v>
      </c>
      <c r="I118" s="72" t="s">
        <v>86</v>
      </c>
      <c r="J118" s="72" t="s">
        <v>921</v>
      </c>
      <c r="M118" s="150" t="s">
        <v>523</v>
      </c>
      <c r="N118" s="72" t="s">
        <v>703</v>
      </c>
      <c r="HF118" s="72" t="s">
        <v>922</v>
      </c>
      <c r="HG118" s="72" t="s">
        <v>923</v>
      </c>
      <c r="HH118" s="72" t="s">
        <v>735</v>
      </c>
      <c r="HI118" s="72" t="s">
        <v>924</v>
      </c>
      <c r="HJ118" s="72" t="s">
        <v>925</v>
      </c>
      <c r="HK118" s="72" t="s">
        <v>926</v>
      </c>
      <c r="HM118" s="83">
        <v>99.99</v>
      </c>
      <c r="KT118" s="74">
        <v>50</v>
      </c>
      <c r="KX118" s="75">
        <v>0</v>
      </c>
      <c r="LH118" s="72" t="s">
        <v>767</v>
      </c>
      <c r="LI118" s="72" t="s">
        <v>744</v>
      </c>
      <c r="LR118" s="72" t="s">
        <v>927</v>
      </c>
    </row>
    <row r="119" spans="1:330" ht="25.5" x14ac:dyDescent="0.25">
      <c r="F119" s="71" t="s">
        <v>928</v>
      </c>
      <c r="I119" s="72" t="s">
        <v>94</v>
      </c>
      <c r="J119" s="72" t="s">
        <v>929</v>
      </c>
      <c r="HF119" s="72" t="s">
        <v>930</v>
      </c>
      <c r="HG119" s="72" t="s">
        <v>931</v>
      </c>
      <c r="HJ119" s="72" t="s">
        <v>932</v>
      </c>
      <c r="HK119" s="72" t="s">
        <v>933</v>
      </c>
    </row>
  </sheetData>
  <sheetProtection formatCells="0" formatColumns="0" formatRows="0" insertColumns="0" insertRows="0" insertHyperlinks="0" deleteColumns="0" deleteRows="0" sort="0" autoFilter="0" pivotTables="0"/>
  <sortState xmlns:xlrd2="http://schemas.microsoft.com/office/spreadsheetml/2017/richdata2" ref="A12:LF149">
    <sortCondition ref="HH12:HH149"/>
  </sortState>
  <phoneticPr fontId="17" type="noConversion"/>
  <conditionalFormatting sqref="A12:D1048576 F12:K1048576 M12:HD1048576 HF12:HK1048576 HM12:HN1048576 HP12:HU1048576 HW12:HY1048576 IA12:IM1048576 IO12:JA1048576 JC12:JO1048576 JQ12:KC1048576 KE12:KQ1048576 KS12:LP1048576 LR12:MA1048576 MC12:XFD1048576">
    <cfRule type="expression" dxfId="6" priority="35">
      <formula>OR(AND(OR($F12="Produkt",$F12="Product"),OR($F13="Variante",$F13="Variant",$F13="Variante (Fremdsprache)",$F13="Variant (foreign language)")),AND(OR($F12="Produkt",$F12="Product"),OR($F13="Produkt (Fremdsprache)",$F13="Product (foreign language)"),OR($F13&lt;&gt;"Produkt",$F13&lt;&gt;"Product"),OR($F14="Variante",$F14="Variant",$F14="Variante (Fremdsprache)",$F14="Variant (foreign language)")))</formula>
    </cfRule>
    <cfRule type="expression" dxfId="5" priority="34">
      <formula>OR($F12="Variante",$F12="Variant")</formula>
    </cfRule>
    <cfRule type="expression" dxfId="4" priority="33">
      <formula>OR($F12="Produkt",$F12="Product")</formula>
    </cfRule>
    <cfRule type="expression" dxfId="3" priority="32">
      <formula>OR($F12="Variante (Fremdsprache)",$F12="Variant (foreign language)",$F12="Produkt (Fremdsprache)",$F12="Product (foreign language)")</formula>
    </cfRule>
    <cfRule type="expression" dxfId="2" priority="31">
      <formula>ISERROR(SEARCH("/" &amp; INDIRECT(ADDRESS(ROW(),6)) &amp; "/",INDIRECT(ADDRESS(7,COLUMN()))))</formula>
    </cfRule>
    <cfRule type="expression" dxfId="1" priority="30">
      <formula>$B12=1</formula>
    </cfRule>
    <cfRule type="expression" dxfId="0" priority="29">
      <formula>$C12=1</formula>
    </cfRule>
  </conditionalFormatting>
  <conditionalFormatting sqref="D12:D1048576">
    <cfRule type="iconSet" priority="28">
      <iconSet showValue="0">
        <cfvo type="percent" val="0"/>
        <cfvo type="num" val="0"/>
        <cfvo type="num" val="1"/>
      </iconSet>
    </cfRule>
  </conditionalFormatting>
  <conditionalFormatting sqref="LL12:LL1048576">
    <cfRule type="iconSet" priority="27">
      <iconSet showValue="0">
        <cfvo type="percent" val="0"/>
        <cfvo type="num" val="0"/>
        <cfvo type="num" val="1"/>
      </iconSet>
    </cfRule>
  </conditionalFormatting>
  <conditionalFormatting sqref="LJ12:LJ1048576">
    <cfRule type="iconSet" priority="26">
      <iconSet showValue="0">
        <cfvo type="percent" val="0"/>
        <cfvo type="num" val="0"/>
        <cfvo type="num" val="1"/>
      </iconSet>
    </cfRule>
  </conditionalFormatting>
  <conditionalFormatting sqref="HP12:HP1048576">
    <cfRule type="iconSet" priority="25">
      <iconSet showValue="0">
        <cfvo type="percent" val="0"/>
        <cfvo type="num" val="0"/>
        <cfvo type="num" val="1"/>
      </iconSet>
    </cfRule>
  </conditionalFormatting>
  <conditionalFormatting sqref="IE12:IE1048576">
    <cfRule type="iconSet" priority="24">
      <iconSet showValue="0">
        <cfvo type="percent" val="0"/>
        <cfvo type="num" val="0"/>
        <cfvo type="num" val="1"/>
      </iconSet>
    </cfRule>
  </conditionalFormatting>
  <conditionalFormatting sqref="IS12:IS1048576">
    <cfRule type="iconSet" priority="23">
      <iconSet showValue="0">
        <cfvo type="percent" val="0"/>
        <cfvo type="num" val="0"/>
        <cfvo type="num" val="1"/>
      </iconSet>
    </cfRule>
  </conditionalFormatting>
  <conditionalFormatting sqref="JG12:JG1048576">
    <cfRule type="iconSet" priority="22">
      <iconSet showValue="0">
        <cfvo type="percent" val="0"/>
        <cfvo type="num" val="0"/>
        <cfvo type="num" val="1"/>
      </iconSet>
    </cfRule>
  </conditionalFormatting>
  <conditionalFormatting sqref="JU12:JU1048576">
    <cfRule type="iconSet" priority="21">
      <iconSet showValue="0">
        <cfvo type="percent" val="0"/>
        <cfvo type="num" val="0"/>
        <cfvo type="num" val="1"/>
      </iconSet>
    </cfRule>
  </conditionalFormatting>
  <conditionalFormatting sqref="KI12:KI1048576">
    <cfRule type="iconSet" priority="20">
      <iconSet showValue="0">
        <cfvo type="percent" val="0"/>
        <cfvo type="num" val="0"/>
        <cfvo type="num" val="1"/>
      </iconSet>
    </cfRule>
  </conditionalFormatting>
  <conditionalFormatting sqref="HS12:HS1048576">
    <cfRule type="iconSet" priority="19">
      <iconSet showValue="0">
        <cfvo type="percent" val="0"/>
        <cfvo type="num" val="0"/>
        <cfvo type="num" val="1"/>
      </iconSet>
    </cfRule>
  </conditionalFormatting>
  <conditionalFormatting sqref="IH12:IH1048576">
    <cfRule type="iconSet" priority="18">
      <iconSet showValue="0">
        <cfvo type="percent" val="0"/>
        <cfvo type="num" val="0"/>
        <cfvo type="num" val="1"/>
      </iconSet>
    </cfRule>
  </conditionalFormatting>
  <conditionalFormatting sqref="IV12:IV1048576">
    <cfRule type="iconSet" priority="17">
      <iconSet showValue="0">
        <cfvo type="percent" val="0"/>
        <cfvo type="num" val="0"/>
        <cfvo type="num" val="1"/>
      </iconSet>
    </cfRule>
  </conditionalFormatting>
  <conditionalFormatting sqref="JJ12:JJ1048576">
    <cfRule type="iconSet" priority="16">
      <iconSet showValue="0">
        <cfvo type="percent" val="0"/>
        <cfvo type="num" val="0"/>
        <cfvo type="num" val="1"/>
      </iconSet>
    </cfRule>
  </conditionalFormatting>
  <conditionalFormatting sqref="JX12:JX1048576">
    <cfRule type="iconSet" priority="15">
      <iconSet showValue="0">
        <cfvo type="percent" val="0"/>
        <cfvo type="num" val="0"/>
        <cfvo type="num" val="1"/>
      </iconSet>
    </cfRule>
  </conditionalFormatting>
  <conditionalFormatting sqref="KL12:KL1048576">
    <cfRule type="iconSet" priority="14">
      <iconSet showValue="0">
        <cfvo type="percent" val="0"/>
        <cfvo type="num" val="0"/>
        <cfvo type="num" val="1"/>
      </iconSet>
    </cfRule>
  </conditionalFormatting>
  <conditionalFormatting sqref="HY12:HY1048576">
    <cfRule type="iconSet" priority="13">
      <iconSet showValue="0">
        <cfvo type="percent" val="0"/>
        <cfvo type="num" val="0"/>
        <cfvo type="num" val="1"/>
      </iconSet>
    </cfRule>
  </conditionalFormatting>
  <conditionalFormatting sqref="IM12:IM1048576">
    <cfRule type="iconSet" priority="12">
      <iconSet showValue="0">
        <cfvo type="percent" val="0"/>
        <cfvo type="num" val="0"/>
        <cfvo type="num" val="1"/>
      </iconSet>
    </cfRule>
  </conditionalFormatting>
  <conditionalFormatting sqref="JA12:JA1048576">
    <cfRule type="iconSet" priority="11">
      <iconSet showValue="0">
        <cfvo type="percent" val="0"/>
        <cfvo type="num" val="0"/>
        <cfvo type="num" val="1"/>
      </iconSet>
    </cfRule>
  </conditionalFormatting>
  <conditionalFormatting sqref="JO12:JO1048576">
    <cfRule type="iconSet" priority="10">
      <iconSet showValue="0">
        <cfvo type="percent" val="0"/>
        <cfvo type="num" val="0"/>
        <cfvo type="num" val="1"/>
      </iconSet>
    </cfRule>
  </conditionalFormatting>
  <conditionalFormatting sqref="KC12:KC1048576">
    <cfRule type="iconSet" priority="9">
      <iconSet showValue="0">
        <cfvo type="percent" val="0"/>
        <cfvo type="num" val="0"/>
        <cfvo type="num" val="1"/>
      </iconSet>
    </cfRule>
  </conditionalFormatting>
  <conditionalFormatting sqref="KQ12:KQ1048576">
    <cfRule type="iconSet" priority="8">
      <iconSet showValue="0">
        <cfvo type="percent" val="0"/>
        <cfvo type="num" val="0"/>
        <cfvo type="num" val="1"/>
      </iconSet>
    </cfRule>
  </conditionalFormatting>
  <conditionalFormatting sqref="IA12:IA1048576">
    <cfRule type="iconSet" priority="7">
      <iconSet showValue="0">
        <cfvo type="percent" val="0"/>
        <cfvo type="num" val="0"/>
        <cfvo type="num" val="1"/>
      </iconSet>
    </cfRule>
  </conditionalFormatting>
  <conditionalFormatting sqref="IO12:IO1048576">
    <cfRule type="iconSet" priority="6">
      <iconSet showValue="0">
        <cfvo type="percent" val="0"/>
        <cfvo type="num" val="0"/>
        <cfvo type="num" val="1"/>
      </iconSet>
    </cfRule>
  </conditionalFormatting>
  <conditionalFormatting sqref="JC12:JC1048576">
    <cfRule type="iconSet" priority="5">
      <iconSet showValue="0">
        <cfvo type="percent" val="0"/>
        <cfvo type="num" val="0"/>
        <cfvo type="num" val="1"/>
      </iconSet>
    </cfRule>
  </conditionalFormatting>
  <conditionalFormatting sqref="JQ12:JQ1048576">
    <cfRule type="iconSet" priority="4">
      <iconSet showValue="0">
        <cfvo type="percent" val="0"/>
        <cfvo type="num" val="0"/>
        <cfvo type="num" val="1"/>
      </iconSet>
    </cfRule>
  </conditionalFormatting>
  <conditionalFormatting sqref="KE12:KE1048576">
    <cfRule type="iconSet" priority="3">
      <iconSet showValue="0">
        <cfvo type="percent" val="0"/>
        <cfvo type="num" val="0"/>
        <cfvo type="num" val="1"/>
      </iconSet>
    </cfRule>
  </conditionalFormatting>
  <conditionalFormatting sqref="LC12:LD1048576">
    <cfRule type="iconSet" priority="2">
      <iconSet showValue="0">
        <cfvo type="percent" val="0"/>
        <cfvo type="num" val="0"/>
        <cfvo type="num" val="1"/>
      </iconSet>
    </cfRule>
  </conditionalFormatting>
  <conditionalFormatting sqref="B12:C1048576">
    <cfRule type="iconSet" priority="1">
      <iconSet showValue="0" reverse="1">
        <cfvo type="percent" val="0"/>
        <cfvo type="num" val="0"/>
        <cfvo type="num" val="1"/>
      </iconSet>
    </cfRule>
  </conditionalFormatting>
  <pageMargins left="0.7" right="0.7" top="0.78740157499999996" bottom="0.78740157499999996"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152" r:id="rId4" name="Dropdown_Seitenwaehler01">
              <controlPr defaultSize="0" autoLine="0" autoPict="0" macro="[0]!seitenwähler">
                <anchor moveWithCells="1">
                  <from>
                    <xdr:col>1</xdr:col>
                    <xdr:colOff>0</xdr:colOff>
                    <xdr:row>3</xdr:row>
                    <xdr:rowOff>0</xdr:rowOff>
                  </from>
                  <to>
                    <xdr:col>2</xdr:col>
                    <xdr:colOff>447675</xdr:colOff>
                    <xdr:row>3</xdr:row>
                    <xdr:rowOff>190500</xdr:rowOff>
                  </to>
                </anchor>
              </controlPr>
            </control>
          </mc:Choice>
        </mc:AlternateContent>
        <mc:AlternateContent xmlns:mc="http://schemas.openxmlformats.org/markup-compatibility/2006">
          <mc:Choice Requires="x14">
            <control shapeId="1158" r:id="rId5" name="Dropdown_Sprachwaehler01">
              <controlPr defaultSize="0" autoLine="0" autoPict="0" macro="[0]!toDosNachSprachwechsel">
                <anchor moveWithCells="1">
                  <from>
                    <xdr:col>1</xdr:col>
                    <xdr:colOff>0</xdr:colOff>
                    <xdr:row>2</xdr:row>
                    <xdr:rowOff>0</xdr:rowOff>
                  </from>
                  <to>
                    <xdr:col>2</xdr:col>
                    <xdr:colOff>447675</xdr:colOff>
                    <xdr:row>3</xdr:row>
                    <xdr:rowOff>0</xdr:rowOff>
                  </to>
                </anchor>
              </controlPr>
            </control>
          </mc:Choice>
        </mc:AlternateContent>
        <mc:AlternateContent xmlns:mc="http://schemas.openxmlformats.org/markup-compatibility/2006">
          <mc:Choice Requires="x14">
            <control shapeId="1168" r:id="rId6" name="Dropdown_Aktionenwaehler01">
              <controlPr defaultSize="0" autoLine="0" autoPict="0" macro="[0]!Tabelle1.aktionswähler">
                <anchor moveWithCells="1">
                  <from>
                    <xdr:col>4</xdr:col>
                    <xdr:colOff>28575</xdr:colOff>
                    <xdr:row>3</xdr:row>
                    <xdr:rowOff>0</xdr:rowOff>
                  </from>
                  <to>
                    <xdr:col>6</xdr:col>
                    <xdr:colOff>714375</xdr:colOff>
                    <xdr:row>3</xdr:row>
                    <xdr:rowOff>190500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6">
        <x14:dataValidation type="list" allowBlank="1" showInputMessage="1" showErrorMessage="1" xr:uid="{00000000-0002-0000-0000-00001C000000}">
          <x14:formula1>
            <xm:f>Basisparameter!$A$12:$A$13</xm:f>
          </x14:formula1>
          <xm:sqref>B12:B1048564</xm:sqref>
        </x14:dataValidation>
        <x14:dataValidation type="list" allowBlank="1" showInputMessage="1" showErrorMessage="1" xr:uid="{00000000-0002-0000-0000-00001D000000}">
          <x14:formula1>
            <xm:f>Basisparameter!$B$12:$B$13</xm:f>
          </x14:formula1>
          <xm:sqref>C12:C1048564</xm:sqref>
        </x14:dataValidation>
        <x14:dataValidation type="list" allowBlank="1" showInputMessage="1" showErrorMessage="1" xr:uid="{00000000-0002-0000-0000-00001E000000}">
          <x14:formula1>
            <xm:f>Basisparameter!$C$12:$C$13</xm:f>
          </x14:formula1>
          <xm:sqref>D12:D1048564 LJ12:LJ1048564 LL12:LL1048564</xm:sqref>
        </x14:dataValidation>
        <x14:dataValidation type="list" allowBlank="1" showInputMessage="1" showErrorMessage="1" xr:uid="{00000000-0002-0000-0000-00001F000000}">
          <x14:formula1>
            <xm:f>Basisparameter!$D$12:$D$17</xm:f>
          </x14:formula1>
          <xm:sqref>F12:F1048564</xm:sqref>
        </x14:dataValidation>
        <x14:dataValidation type="list" allowBlank="1" showInputMessage="1" showErrorMessage="1" xr:uid="{00000000-0002-0000-0000-000020000000}">
          <x14:formula1>
            <xm:f>Konfiguration!$A$12:$A$1048564</xm:f>
          </x14:formula1>
          <xm:sqref>I12:I1048564</xm:sqref>
        </x14:dataValidation>
        <x14:dataValidation type="list" allowBlank="1" showInputMessage="1" showErrorMessage="1" xr:uid="{00000000-0002-0000-0000-000021000000}">
          <x14:formula1>
            <xm:f>Konfiguration!$B$12:$B$1048564</xm:f>
          </x14:formula1>
          <xm:sqref>M12:M1048564 O12:O1048564 Q12:Q1048564 S12:S1048564 U12:U1048564 W12:W1048564 Y12:Y1048564 AA12:AA1048564 AC12:AC1048564 AE12:AE1048564 AG12:AG1048564 AI12:AI1048564 AK12:AK1048564 AM12:AM1048564 AO12:AO1048564 AQ12:AQ1048564 AS12:AS1048564 AU12:AU1048564 AW12:AW1048564 AY12:AY1048564 BA12:BA1048564 BC12:BC1048564 BE12:BE1048564 BG12:BG1048564 BI12:BI1048564 BK12:BK1048564 BM12:BM1048564 BO12:BO1048564 BQ12:BQ1048564 BS12:BS1048564 BU12:BU1048564 BW12:BW1048564 BY12:BY1048564 CA12:CA1048564 CC12:CC1048564 CE12:CE1048564 CG12:CG1048564 CI12:CI1048564 CK12:CK1048564 CM12:CM1048564 CO12:CO1048564 CQ12:CQ1048564 CS12:CS1048564 CU12:CU1048564 CW12:CW1048564 CY12:CY1048564 DA12:DA1048564 DC12:DC1048564 DE12:DE1048564 DG12:DG1048564 DI12:DI1048564 DK12:DK1048564 DM12:DM1048564 DO12:DO1048564 DQ12:DQ1048564 DS12:DS1048564 DU12:DU1048564 DW12:DW1048564 DY12:DY1048564 EA12:EA1048564 EC12:EC1048564 EE12:EE1048564 EG12:EG1048564 EI12:EI1048564 EK12:EK1048564 EM12:EM1048564 EO12:EO1048564 EQ12:EQ1048564 ES12:ES1048564 EU12:EU1048564 EW12:EW1048564 EY12:EY1048564 FA12:FA1048564 FC12:FC1048564 FE12:FE1048564 FG12:FG1048564 FI12:FI1048564 FK12:FK1048564 FM12:FM1048564 FO12:FO1048564 FQ12:FQ1048564 FS12:FS1048564 FU12:FU1048564 FW12:FW1048564 FY12:FY1048564 GA12:GA1048564 GC12:GC1048564 GE12:GE1048564 GG12:GG1048564 GI12:GI1048564 GK12:GK1048564 GM12:GM1048564 GO12:GO1048564 GQ12:GQ1048564 GS12:GS1048564 GU12:GU1048564 GW12:GW1048564 GY12:GY1048564 HA12:HA1048564 HC12:HC1048564</xm:sqref>
        </x14:dataValidation>
        <x14:dataValidation type="list" allowBlank="1" showInputMessage="1" showErrorMessage="1" xr:uid="{00000000-0002-0000-0000-000022000000}">
          <x14:formula1>
            <xm:f>Konfiguration!$C$12:$C$1048564</xm:f>
          </x14:formula1>
          <xm:sqref>N12:N1048564 P12:P1048564 R12:R1048564 T12:T1048564 V12:V1048564 X12:X1048564 Z12:Z1048564 AB12:AB1048564 AD12:AD1048564 AF12:AF1048564 AH12:AH1048564 AJ12:AJ1048564 AL12:AL1048564 AN12:AN1048564 AP12:AP1048564 AR12:AR1048564 AT12:AT1048564 AV12:AV1048564 AX12:AX1048564 AZ12:AZ1048564 BB12:BB1048564 BD12:BD1048564 BF12:BF1048564 BH12:BH1048564 BJ12:BJ1048564 BL12:BL1048564 BN12:BN1048564 BP12:BP1048564 BR12:BR1048564 BT12:BT1048564 BV12:BV1048564 BX12:BX1048564 BZ12:BZ1048564 CB12:CB1048564 CD12:CD1048564 CF12:CF1048564 CH12:CH1048564 CJ12:CJ1048564 CL12:CL1048564 CN12:CN1048564 CP12:CP1048564 CR12:CR1048564 CT12:CT1048564 CV12:CV1048564 CX12:CX1048564 CZ12:CZ1048564 DB12:DB1048564 DD12:DD1048564 DF12:DF1048564 DH12:DH1048564 DJ12:DJ1048564 DL12:DL1048564 DN12:DN1048564 DP12:DP1048564 DR12:DR1048564 DT12:DT1048564 DV12:DV1048564 DX12:DX1048564 DZ12:DZ1048564 EB12:EB1048564 ED12:ED1048564 EF12:EF1048564 EH12:EH1048564 EJ12:EJ1048564 EL12:EL1048564 EN12:EN1048564 EP12:EP1048564 ER12:ER1048564 ET12:ET1048564 EV12:EV1048564 EX12:EX1048564 EZ12:EZ1048564 FB12:FB1048564 FD12:FD1048564 FF12:FF1048564 FH12:FH1048564 FJ12:FJ1048564 FL12:FL1048564 FN12:FN1048564 FP12:FP1048564 FR12:FR1048564 FT12:FT1048564 FV12:FV1048564 FX12:FX1048564 FZ12:FZ1048564 GB12:GB1048564 GD12:GD1048564 GF12:GF1048564 GH12:GH1048564 GJ12:GJ1048564 GL12:GL1048564 GN12:GN1048564 GP12:GP1048564 GR12:GR1048564 GT12:GT1048564 GV12:GV1048564 GX12:GX1048564 GZ12:GZ1048564 HB12:HB1048564 HD12:HD1048564</xm:sqref>
        </x14:dataValidation>
        <x14:dataValidation type="list" allowBlank="1" showInputMessage="1" showErrorMessage="1" xr:uid="{00000000-0002-0000-0000-0000E9000000}">
          <x14:formula1>
            <xm:f>Konfiguration!$D$12:$D$1048564</xm:f>
          </x14:formula1>
          <xm:sqref>HH12:HH1048564</xm:sqref>
        </x14:dataValidation>
        <x14:dataValidation type="list" allowBlank="1" showInputMessage="1" showErrorMessage="1" xr:uid="{00000000-0002-0000-0000-0000EA000000}">
          <x14:formula1>
            <xm:f>Basisparameter!$E$12:$E$15</xm:f>
          </x14:formula1>
          <xm:sqref>HN12:HN1048564 ID12:ID1048564 IR12:IR1048564 JF12:JF1048564 JT12:JT1048564 KH12:KH1048564</xm:sqref>
        </x14:dataValidation>
        <x14:dataValidation type="list" allowBlank="1" showInputMessage="1" showErrorMessage="1" xr:uid="{00000000-0002-0000-0000-0000EB000000}">
          <x14:formula1>
            <xm:f>Basisparameter!$L$12:$L$13</xm:f>
          </x14:formula1>
          <xm:sqref>HP12:HP1048564 IE12:IE1048564 IS12:IS1048564 JG12:JG1048564 JU12:JU1048564 KI12:KI1048564</xm:sqref>
        </x14:dataValidation>
        <x14:dataValidation type="list" allowBlank="1" showInputMessage="1" showErrorMessage="1" xr:uid="{00000000-0002-0000-0000-0000EC000000}">
          <x14:formula1>
            <xm:f>Basisparameter!$M$12:$M$15</xm:f>
          </x14:formula1>
          <xm:sqref>HQ12:HQ1048564 IF12:IF1048564 IT12:IT1048564 JH12:JH1048564 JV12:JV1048564 KJ12:KJ1048564</xm:sqref>
        </x14:dataValidation>
        <x14:dataValidation type="list" allowBlank="1" showInputMessage="1" showErrorMessage="1" xr:uid="{00000000-0002-0000-0000-0000ED000000}">
          <x14:formula1>
            <xm:f>Basisparameter!$N$12:$N$16</xm:f>
          </x14:formula1>
          <xm:sqref>HR12:HR1048564 IG12:IG1048564 IU12:IU1048564 JI12:JI1048564 JW12:JW1048564 KK12:KK1048564</xm:sqref>
        </x14:dataValidation>
        <x14:dataValidation type="list" allowBlank="1" showInputMessage="1" showErrorMessage="1" xr:uid="{00000000-0002-0000-0000-0000EE000000}">
          <x14:formula1>
            <xm:f>Basisparameter!$O$12:$O$13</xm:f>
          </x14:formula1>
          <xm:sqref>HS12:HS1048564 IH12:IH1048564 IV12:IV1048564 JJ12:JJ1048564 JX12:JX1048564 KL12:KL1048564</xm:sqref>
        </x14:dataValidation>
        <x14:dataValidation type="list" allowBlank="1" showInputMessage="1" showErrorMessage="1" xr:uid="{00000000-0002-0000-0000-0000EF000000}">
          <x14:formula1>
            <xm:f>Basisparameter!$F$12:$F$15</xm:f>
          </x14:formula1>
          <xm:sqref>HX12:HX1048564 IL12:IL1048564 IZ12:IZ1048564 JN12:JN1048564 KB12:KB1048564 KP12:KP1048564</xm:sqref>
        </x14:dataValidation>
        <x14:dataValidation type="list" allowBlank="1" showInputMessage="1" showErrorMessage="1" xr:uid="{00000000-0002-0000-0000-0000F0000000}">
          <x14:formula1>
            <xm:f>Basisparameter!$G$12:$G$13</xm:f>
          </x14:formula1>
          <xm:sqref>HY12:HY1048564 IM12:IM1048564 JA12:JA1048564 JO12:JO1048564 KC12:KC1048564 KQ12:KQ1048564</xm:sqref>
        </x14:dataValidation>
        <x14:dataValidation type="list" allowBlank="1" showInputMessage="1" showErrorMessage="1" xr:uid="{00000000-0002-0000-0000-0000F1000000}">
          <x14:formula1>
            <xm:f>Basisparameter!$K$12:$K$13</xm:f>
          </x14:formula1>
          <xm:sqref>IA12:IA1048564 IO12:IO1048564 JC12:JC1048564 JQ12:JQ1048564 KE12:KE1048564</xm:sqref>
        </x14:dataValidation>
        <x14:dataValidation type="list" allowBlank="1" showInputMessage="1" showErrorMessage="1" xr:uid="{00000000-0002-0000-0000-0000F2000000}">
          <x14:formula1>
            <xm:f>Konfiguration!$E$12:$E$1048564</xm:f>
          </x14:formula1>
          <xm:sqref>IB12:IB1048564 IP12:IP1048564 JD12:JD1048564 JR12:JR1048564 KF12:KF1048564</xm:sqref>
        </x14:dataValidation>
        <x14:dataValidation type="list" allowBlank="1" showInputMessage="1" showErrorMessage="1" xr:uid="{00000000-0002-0000-0000-00001E010000}">
          <x14:formula1>
            <xm:f>Konfiguration!$F$12:$F$1048564</xm:f>
          </x14:formula1>
          <xm:sqref>KS12:KS1048564</xm:sqref>
        </x14:dataValidation>
        <x14:dataValidation type="list" allowBlank="1" showInputMessage="1" showErrorMessage="1" xr:uid="{00000000-0002-0000-0000-00001F010000}">
          <x14:formula1>
            <xm:f>Basisparameter!$H$12:$H$15</xm:f>
          </x14:formula1>
          <xm:sqref>KU12:KU1048564</xm:sqref>
        </x14:dataValidation>
        <x14:dataValidation type="list" allowBlank="1" showInputMessage="1" showErrorMessage="1" xr:uid="{00000000-0002-0000-0000-000020010000}">
          <x14:formula1>
            <xm:f>Konfiguration!$G$12:$G$1048564</xm:f>
          </x14:formula1>
          <xm:sqref>KV12:KV1048564</xm:sqref>
        </x14:dataValidation>
        <x14:dataValidation type="list" allowBlank="1" showInputMessage="1" showErrorMessage="1" xr:uid="{00000000-0002-0000-0000-000021010000}">
          <x14:formula1>
            <xm:f>Konfiguration!$H$12:$H$1048564</xm:f>
          </x14:formula1>
          <xm:sqref>KW12:KW1048564</xm:sqref>
        </x14:dataValidation>
        <x14:dataValidation type="list" allowBlank="1" showInputMessage="1" showErrorMessage="1" xr:uid="{00000000-0002-0000-0000-000022010000}">
          <x14:formula1>
            <xm:f>Basisparameter!$I$12:$I$13</xm:f>
          </x14:formula1>
          <xm:sqref>LC12:LC1048564</xm:sqref>
        </x14:dataValidation>
        <x14:dataValidation type="list" allowBlank="1" showInputMessage="1" showErrorMessage="1" xr:uid="{00000000-0002-0000-0000-000023010000}">
          <x14:formula1>
            <xm:f>Basisparameter!$J$12:$J$13</xm:f>
          </x14:formula1>
          <xm:sqref>LD12:LD1048564</xm:sqref>
        </x14:dataValidation>
        <x14:dataValidation type="list" allowBlank="1" showInputMessage="1" showErrorMessage="1" xr:uid="{00000000-0002-0000-0000-000024010000}">
          <x14:formula1>
            <xm:f>Konfiguration!$I$12:$I$1048564</xm:f>
          </x14:formula1>
          <xm:sqref>LI12:LI1048564 LM12:LM1048564</xm:sqref>
        </x14:dataValidation>
        <x14:dataValidation type="list" allowBlank="1" showInputMessage="1" showErrorMessage="1" xr:uid="{00000000-0002-0000-0000-000028010000}">
          <x14:formula1>
            <xm:f>Konfiguration!$J$12:$J$1048564</xm:f>
          </x14:formula1>
          <xm:sqref>LO12:LO1048564</xm:sqref>
        </x14:dataValidation>
        <x14:dataValidation type="list" allowBlank="1" showInputMessage="1" showErrorMessage="1" xr:uid="{00000000-0002-0000-0000-000029010000}">
          <x14:formula1>
            <xm:f>Konfiguration!$K$12:$K$1048564</xm:f>
          </x14:formula1>
          <xm:sqref>LP12:LP1048564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1:AI58"/>
  <sheetViews>
    <sheetView zoomScaleNormal="100" workbookViewId="0">
      <pane ySplit="11" topLeftCell="A12" activePane="bottomLeft" state="frozenSplit"/>
      <selection pane="bottomLeft" activeCell="A12" sqref="A12"/>
    </sheetView>
  </sheetViews>
  <sheetFormatPr baseColWidth="10" defaultColWidth="11.42578125" defaultRowHeight="16.5" x14ac:dyDescent="0.3"/>
  <cols>
    <col min="1" max="1" width="17" style="89" customWidth="1"/>
    <col min="2" max="5" width="31.5703125" style="89" customWidth="1"/>
    <col min="6" max="8" width="17" style="89" customWidth="1"/>
    <col min="9" max="11" width="31.5703125" style="89" customWidth="1"/>
    <col min="12" max="12" width="11.42578125" style="9"/>
    <col min="13" max="13" width="11.42578125" style="41"/>
    <col min="14" max="14" width="2.5703125" style="9" customWidth="1"/>
    <col min="15" max="15" width="28.5703125" style="21" customWidth="1"/>
    <col min="16" max="16" width="29.42578125" style="21" hidden="1" customWidth="1"/>
    <col min="17" max="17" width="2.5703125" style="9" customWidth="1"/>
    <col min="18" max="19" width="8.5703125" style="21" customWidth="1"/>
    <col min="20" max="20" width="2.5703125" style="4" customWidth="1"/>
    <col min="21" max="21" width="17" style="21" customWidth="1"/>
    <col min="22" max="22" width="11.42578125" style="4"/>
    <col min="23" max="23" width="11.42578125" style="51"/>
    <col min="24" max="24" width="2.5703125" style="9" customWidth="1"/>
    <col min="25" max="25" width="17" style="53" customWidth="1"/>
    <col min="26" max="26" width="11.42578125" style="4"/>
    <col min="27" max="27" width="11.42578125" style="51"/>
    <col min="28" max="28" width="2.5703125" style="9" customWidth="1"/>
    <col min="29" max="29" width="31.42578125" style="53" customWidth="1"/>
    <col min="30" max="30" width="49.5703125" style="53" customWidth="1"/>
    <col min="31" max="31" width="11.42578125" style="4"/>
    <col min="32" max="32" width="11.42578125" style="134"/>
    <col min="33" max="33" width="2.5703125" style="9" customWidth="1"/>
    <col min="34" max="34" width="31.42578125" style="136" customWidth="1"/>
    <col min="35" max="35" width="45.42578125" style="136" customWidth="1"/>
    <col min="36" max="16384" width="11.42578125" style="4"/>
  </cols>
  <sheetData>
    <row r="1" spans="1:35" s="1" customFormat="1" ht="111" customHeight="1" x14ac:dyDescent="0.3"/>
    <row r="2" spans="1:35" s="1" customFormat="1" ht="37.5" customHeight="1" thickBot="1" x14ac:dyDescent="0.35">
      <c r="A2" s="6" t="str">
        <f>mehrsprachigkeitBegriffsrückgabe(gewählteSpracheZurückgeben(),"MERCONIS PRODUCT MANAGER: Your configuration")</f>
        <v>MERCONIS PRODUCT MANAGER: Konfiguration</v>
      </c>
      <c r="I2" s="94"/>
      <c r="J2" s="94"/>
      <c r="K2" s="93"/>
    </row>
    <row r="3" spans="1:35" s="1" customFormat="1" ht="15.75" customHeight="1" thickBot="1" x14ac:dyDescent="0.35">
      <c r="A3" s="131" t="str">
        <f>mehrsprachigkeitBegriffsrückgabe(gewählteSpracheZurückgeben(),"Language")</f>
        <v>Sprache</v>
      </c>
      <c r="B3" s="40"/>
    </row>
    <row r="4" spans="1:35" s="5" customFormat="1" ht="15.75" customHeight="1" thickBot="1" x14ac:dyDescent="0.3">
      <c r="A4" s="131" t="str">
        <f>mehrsprachigkeitBegriffsrückgabe(gewählteSpracheZurückgeben(),"Go to page")</f>
        <v>Gehe zu Seite</v>
      </c>
      <c r="B4" s="40">
        <v>1</v>
      </c>
    </row>
    <row r="5" spans="1:35" s="1" customFormat="1" ht="6" customHeight="1" thickBot="1" x14ac:dyDescent="0.35"/>
    <row r="6" spans="1:35" s="1" customFormat="1" ht="17.25" hidden="1" customHeight="1" x14ac:dyDescent="0.3">
      <c r="B6" s="1">
        <v>1</v>
      </c>
      <c r="C6" s="1">
        <v>1</v>
      </c>
      <c r="F6" s="1" t="b">
        <v>0</v>
      </c>
    </row>
    <row r="7" spans="1:35" s="1" customFormat="1" ht="16.5" hidden="1" customHeight="1" x14ac:dyDescent="0.3"/>
    <row r="8" spans="1:35" s="10" customFormat="1" ht="16.5" hidden="1" customHeight="1" x14ac:dyDescent="0.3">
      <c r="O8" s="1"/>
      <c r="P8" s="1"/>
      <c r="R8" s="1"/>
      <c r="S8" s="1"/>
      <c r="U8" s="1"/>
      <c r="Y8" s="1"/>
      <c r="AC8" s="1"/>
      <c r="AD8" s="1"/>
      <c r="AH8" s="1"/>
      <c r="AI8" s="1"/>
    </row>
    <row r="9" spans="1:35" s="10" customFormat="1" ht="16.5" hidden="1" customHeight="1" x14ac:dyDescent="0.3">
      <c r="O9" s="1"/>
      <c r="P9" s="1"/>
      <c r="R9" s="1"/>
      <c r="S9" s="1"/>
      <c r="U9" s="1"/>
      <c r="Y9" s="1"/>
      <c r="AC9" s="1"/>
      <c r="AD9" s="1"/>
      <c r="AH9" s="1"/>
      <c r="AI9" s="1"/>
    </row>
    <row r="10" spans="1:35" s="10" customFormat="1" ht="17.25" hidden="1" customHeight="1" thickBot="1" x14ac:dyDescent="0.25">
      <c r="A10" s="10" t="s">
        <v>6</v>
      </c>
      <c r="B10" s="10" t="s">
        <v>73</v>
      </c>
      <c r="C10" s="10" t="s">
        <v>74</v>
      </c>
      <c r="D10" s="10" t="s">
        <v>50</v>
      </c>
      <c r="F10" s="10" t="s">
        <v>56</v>
      </c>
      <c r="G10" s="10" t="s">
        <v>59</v>
      </c>
      <c r="H10" s="10" t="s">
        <v>60</v>
      </c>
      <c r="I10" s="10" t="s">
        <v>69</v>
      </c>
      <c r="J10" s="10" t="s">
        <v>90</v>
      </c>
      <c r="K10" s="10" t="s">
        <v>71</v>
      </c>
      <c r="O10" s="10" t="s">
        <v>87</v>
      </c>
      <c r="P10" s="10" t="s">
        <v>88</v>
      </c>
      <c r="R10" s="10" t="s">
        <v>78</v>
      </c>
      <c r="S10" s="10" t="s">
        <v>79</v>
      </c>
      <c r="U10" s="10" t="s">
        <v>80</v>
      </c>
      <c r="Y10" s="10" t="s">
        <v>81</v>
      </c>
      <c r="AC10" s="10" t="s">
        <v>82</v>
      </c>
      <c r="AD10" s="10" t="s">
        <v>83</v>
      </c>
      <c r="AH10" s="10" t="s">
        <v>85</v>
      </c>
      <c r="AI10" s="10" t="s">
        <v>84</v>
      </c>
    </row>
    <row r="11" spans="1:35" s="3" customFormat="1" ht="32.25" customHeight="1" thickBot="1" x14ac:dyDescent="0.3">
      <c r="A11" s="132" t="str">
        <f>mehrsprachigkeitBegriffsrückgabe(gewählteSpracheZurückgeben(),"Language")</f>
        <v>Sprache</v>
      </c>
      <c r="B11" s="132" t="str">
        <f>mehrsprachigkeitBegriffsrückgabe(gewählteSpracheZurückgeben(),"Property")</f>
        <v>Merkmal</v>
      </c>
      <c r="C11" s="132" t="str">
        <f>mehrsprachigkeitBegriffsrückgabe(gewählteSpracheZurückgeben(),"Value")</f>
        <v>Ausprägung</v>
      </c>
      <c r="D11" s="132" t="str">
        <f>mehrsprachigkeitBegriffsrückgabe(gewählteSpracheZurückgeben(),"Category")</f>
        <v>Kategorie</v>
      </c>
      <c r="E11" s="132" t="str">
        <f>mehrsprachigkeitBegriffsrückgabe(gewählteSpracheZurückgeben(),"Member groups")</f>
        <v>Mitgliedergruppen</v>
      </c>
      <c r="F11" s="132" t="str">
        <f>mehrsprachigkeitBegriffsrückgabe(gewählteSpracheZurückgeben(),"Tax class")</f>
        <v>Steuersatz</v>
      </c>
      <c r="G11" s="132" t="str">
        <f>mehrsprachigkeitBegriffsrückgabe(gewählteSpracheZurückgeben(),"Unit")</f>
        <v>Mengeneinheit</v>
      </c>
      <c r="H11" s="132" t="str">
        <f>mehrsprachigkeitBegriffsrückgabe(gewählteSpracheZurückgeben(),"Quantity comparison unit")</f>
        <v>Einheit für Mengenvergleichspreis</v>
      </c>
      <c r="I11" s="132" t="str">
        <f>mehrsprachigkeitBegriffsrückgabe(gewählteSpracheZurückgeben(),"Settings for stock and delivery time")</f>
        <v>Einstellungen zu Lagerbestand und Lieferzeit</v>
      </c>
      <c r="J11" s="132" t="str">
        <f>mehrsprachigkeitBegriffsrückgabe(gewählteSpracheZurückgeben(),"Configurator")</f>
        <v>Konfigurator</v>
      </c>
      <c r="K11" s="132" t="str">
        <f>mehrsprachigkeitBegriffsrückgabe(gewählteSpracheZurückgeben(),"Template")</f>
        <v>Template für Produktdarstellung</v>
      </c>
      <c r="M11" s="175" t="str">
        <f>mehrsprachigkeitBegriffsrückgabe(gewählteSpracheZurückgeben(),"Export")</f>
        <v>Export</v>
      </c>
      <c r="O11" s="55" t="str">
        <f>mehrsprachigkeitBegriffsrückgabe(gewählteSpracheZurückgeben(),"Content transformation")</f>
        <v>Umwandlung des Inhaltes</v>
      </c>
      <c r="P11" s="54" t="str">
        <f>mehrsprachigkeitBegriffsrückgabe(gewählteSpracheZurückgeben(),"Content transformation on/off")</f>
        <v>Umwandlung des Inhaltes an/aus</v>
      </c>
      <c r="R11" s="179" t="str">
        <f>mehrsprachigkeitBegriffsrückgabe(gewählteSpracheZurückgeben(),"Transformation: Font size")</f>
        <v>Umwandlung: Schriftgröße</v>
      </c>
      <c r="S11" s="180"/>
      <c r="U11" s="42" t="str">
        <f>mehrsprachigkeitBegriffsrückgabe(gewählteSpracheZurückgeben(),"Font style: Standard size")</f>
        <v>Schriftformat: Standardgröße</v>
      </c>
      <c r="W11" s="177" t="str">
        <f>mehrsprachigkeitBegriffsrückgabe(gewählteSpracheZurückgeben(),"Usability")</f>
        <v>Bedienung</v>
      </c>
      <c r="Y11" s="52" t="str">
        <f>mehrsprachigkeitBegriffsrückgabe(gewählteSpracheZurückgeben(),"Auto row height")</f>
        <v>Automatische Zeilenhöhe</v>
      </c>
      <c r="AA11" s="177" t="str">
        <f>mehrsprachigkeitBegriffsrückgabe(gewählteSpracheZurückgeben(),"VariantCreator" )</f>
        <v>VariantCreator</v>
      </c>
      <c r="AC11" s="52" t="str">
        <f>mehrsprachigkeitBegriffsrückgabe(gewählteSpracheZurückgeben(),"VariantCreator Settings")</f>
        <v>VariantCreator Einstellungen</v>
      </c>
      <c r="AD11" s="52" t="str">
        <f>mehrsprachigkeitBegriffsrückgabe(gewählteSpracheZurückgeben(),"VariantCreator Setting Values")</f>
        <v>VariantCreator Einstellungswerte</v>
      </c>
      <c r="AF11" s="178" t="str">
        <f>mehrsprachigkeitBegriffsrückgabe(gewählteSpracheZurückgeben(),"Own (text-)templates" )</f>
        <v>Eigene (Text-)vorlagen</v>
      </c>
      <c r="AH11" s="135" t="str">
        <f>mehrsprachigkeitBegriffsrückgabe(gewählteSpracheZurückgeben(),"Name of (Text-)template")</f>
        <v>Name der (Text-)Vorlage</v>
      </c>
      <c r="AI11" s="135" t="str">
        <f>mehrsprachigkeitBegriffsrückgabe(gewählteSpracheZurückgeben(),"Text of (Text-)template")</f>
        <v>Text der (Text-)Vorlage</v>
      </c>
    </row>
    <row r="12" spans="1:35" ht="18" customHeight="1" x14ac:dyDescent="0.3">
      <c r="A12" s="133" t="s">
        <v>86</v>
      </c>
      <c r="B12" s="89" t="s">
        <v>523</v>
      </c>
      <c r="C12" s="89" t="s">
        <v>703</v>
      </c>
      <c r="D12" s="133" t="s">
        <v>734</v>
      </c>
      <c r="E12" s="133"/>
      <c r="F12" s="133" t="s">
        <v>115</v>
      </c>
      <c r="G12" s="133" t="s">
        <v>741</v>
      </c>
      <c r="H12" s="133" t="s">
        <v>77</v>
      </c>
      <c r="I12" s="133" t="s">
        <v>744</v>
      </c>
      <c r="J12" s="133" t="s">
        <v>116</v>
      </c>
      <c r="K12" s="133"/>
      <c r="M12" s="176"/>
      <c r="O12" s="92" t="str">
        <f>mehrsprachigkeitBegriffsrückgabe(gewählteSpracheZurückgeben(),"Font style: Bold")</f>
        <v>Schriftformat: Fett</v>
      </c>
      <c r="P12" s="21" t="b">
        <v>0</v>
      </c>
      <c r="R12" s="21">
        <v>8</v>
      </c>
      <c r="T12" s="9"/>
      <c r="U12" s="21">
        <v>10</v>
      </c>
      <c r="V12" s="9"/>
      <c r="W12" s="176"/>
      <c r="Y12" s="53">
        <v>16</v>
      </c>
      <c r="Z12" s="9"/>
      <c r="AA12" s="176"/>
      <c r="AC12" s="61"/>
      <c r="AD12" s="53" t="s">
        <v>746</v>
      </c>
      <c r="AF12" s="176"/>
    </row>
    <row r="13" spans="1:35" ht="18" customHeight="1" x14ac:dyDescent="0.3">
      <c r="A13" s="89" t="s">
        <v>94</v>
      </c>
      <c r="C13" s="89" t="s">
        <v>704</v>
      </c>
      <c r="D13" s="133" t="s">
        <v>735</v>
      </c>
      <c r="E13" s="133"/>
      <c r="F13" s="89" t="s">
        <v>740</v>
      </c>
      <c r="G13" s="89" t="s">
        <v>742</v>
      </c>
      <c r="H13" s="89" t="s">
        <v>743</v>
      </c>
      <c r="I13" s="89" t="s">
        <v>531</v>
      </c>
      <c r="J13" s="133"/>
      <c r="M13" s="176"/>
      <c r="O13" s="92" t="str">
        <f>mehrsprachigkeitBegriffsrückgabe(gewählteSpracheZurückgeben(),"Font style: Italic")</f>
        <v>Schriftformat: Kursiv</v>
      </c>
      <c r="P13" s="21" t="b">
        <v>0</v>
      </c>
      <c r="R13" s="21">
        <v>9</v>
      </c>
      <c r="T13" s="9"/>
      <c r="V13" s="9"/>
      <c r="W13" s="176"/>
      <c r="Z13" s="9"/>
      <c r="AA13" s="176"/>
      <c r="AC13" s="53" t="s">
        <v>101</v>
      </c>
      <c r="AD13" s="53" t="s">
        <v>134</v>
      </c>
      <c r="AF13" s="176"/>
    </row>
    <row r="14" spans="1:35" ht="18" customHeight="1" x14ac:dyDescent="0.3">
      <c r="C14" s="89" t="s">
        <v>529</v>
      </c>
      <c r="D14" s="133" t="s">
        <v>736</v>
      </c>
      <c r="E14" s="133"/>
      <c r="G14" s="89" t="s">
        <v>77</v>
      </c>
      <c r="I14" s="89" t="s">
        <v>114</v>
      </c>
      <c r="M14" s="176"/>
      <c r="O14" s="92" t="str">
        <f>mehrsprachigkeitBegriffsrückgabe(gewählteSpracheZurückgeben(),"Font style: Underline")</f>
        <v>Schriftformat: Unterstrichen</v>
      </c>
      <c r="P14" s="21" t="b">
        <v>0</v>
      </c>
      <c r="R14" s="21">
        <v>10</v>
      </c>
      <c r="T14" s="9"/>
      <c r="V14" s="9"/>
      <c r="W14" s="176"/>
      <c r="Z14" s="9"/>
      <c r="AA14" s="176"/>
      <c r="AF14" s="176"/>
    </row>
    <row r="15" spans="1:35" ht="18" customHeight="1" x14ac:dyDescent="0.3">
      <c r="C15" s="89" t="s">
        <v>526</v>
      </c>
      <c r="D15" s="133" t="s">
        <v>737</v>
      </c>
      <c r="E15" s="133"/>
      <c r="G15" s="89" t="s">
        <v>743</v>
      </c>
      <c r="I15" s="89" t="s">
        <v>745</v>
      </c>
      <c r="M15" s="176"/>
      <c r="O15" s="92" t="str">
        <f>mehrsprachigkeitBegriffsrückgabe(gewählteSpracheZurückgeben(),"Font style: Color")</f>
        <v>Schriftformat: Farbe</v>
      </c>
      <c r="P15" s="21" t="b">
        <v>0</v>
      </c>
      <c r="R15" s="21">
        <v>11</v>
      </c>
      <c r="T15" s="9"/>
      <c r="V15" s="9"/>
      <c r="W15" s="176"/>
      <c r="Z15" s="9"/>
      <c r="AA15" s="176"/>
      <c r="AF15" s="176"/>
    </row>
    <row r="16" spans="1:35" ht="18" customHeight="1" x14ac:dyDescent="0.3">
      <c r="C16" s="89" t="s">
        <v>705</v>
      </c>
      <c r="D16" s="133" t="s">
        <v>738</v>
      </c>
      <c r="E16" s="133"/>
      <c r="I16" s="89" t="s">
        <v>530</v>
      </c>
      <c r="M16" s="176"/>
      <c r="O16" s="92" t="str">
        <f>mehrsprachigkeitBegriffsrückgabe(gewählteSpracheZurückgeben(),"Font style: Size")</f>
        <v>Schriftformat: Größe</v>
      </c>
      <c r="P16" s="21" t="b">
        <v>0</v>
      </c>
      <c r="R16" s="21">
        <v>12</v>
      </c>
      <c r="S16" s="21">
        <v>2</v>
      </c>
      <c r="T16" s="9"/>
      <c r="V16" s="9"/>
      <c r="W16" s="176"/>
      <c r="Z16" s="9"/>
      <c r="AA16" s="176"/>
      <c r="AF16" s="176"/>
    </row>
    <row r="17" spans="2:32" x14ac:dyDescent="0.3">
      <c r="C17" s="89" t="s">
        <v>706</v>
      </c>
      <c r="D17" s="133" t="s">
        <v>739</v>
      </c>
      <c r="E17" s="133"/>
      <c r="M17" s="176"/>
      <c r="O17" s="92" t="str">
        <f>mehrsprachigkeitBegriffsrückgabe(gewählteSpracheZurückgeben(),"Font style: Line break")</f>
        <v>Schriftformat: Zeilenumbruch</v>
      </c>
      <c r="P17" s="21" t="b">
        <v>1</v>
      </c>
      <c r="R17" s="21">
        <v>13</v>
      </c>
      <c r="T17" s="9"/>
      <c r="V17" s="9"/>
      <c r="W17" s="176"/>
      <c r="Z17" s="9"/>
      <c r="AA17" s="176"/>
      <c r="AF17" s="176"/>
    </row>
    <row r="18" spans="2:32" x14ac:dyDescent="0.3">
      <c r="C18" s="89" t="s">
        <v>707</v>
      </c>
      <c r="M18" s="176"/>
      <c r="O18" s="92" t="str">
        <f>mehrsprachigkeitBegriffsrückgabe(gewählteSpracheZurückgeben(),"Method: Words (faster)")</f>
        <v>Methode: Wörter (schneller)</v>
      </c>
      <c r="P18" s="21" t="b">
        <v>0</v>
      </c>
      <c r="R18" s="21">
        <v>14</v>
      </c>
      <c r="T18" s="9"/>
      <c r="V18" s="9"/>
      <c r="W18" s="176"/>
      <c r="Z18" s="9"/>
      <c r="AA18" s="176"/>
      <c r="AF18" s="176"/>
    </row>
    <row r="19" spans="2:32" x14ac:dyDescent="0.3">
      <c r="C19" s="89" t="s">
        <v>527</v>
      </c>
      <c r="M19" s="176"/>
      <c r="O19" s="92" t="str">
        <f>mehrsprachigkeitBegriffsrückgabe(gewählteSpracheZurückgeben(),"Deactivate transformation")</f>
        <v>Umwandlung deaktivieren</v>
      </c>
      <c r="P19" s="21" t="b">
        <v>0</v>
      </c>
      <c r="R19" s="21">
        <v>15</v>
      </c>
      <c r="T19" s="9"/>
      <c r="V19" s="9"/>
      <c r="W19" s="176"/>
      <c r="Z19" s="9"/>
      <c r="AA19" s="176"/>
      <c r="AF19" s="176"/>
    </row>
    <row r="20" spans="2:32" x14ac:dyDescent="0.3">
      <c r="M20" s="176"/>
      <c r="R20" s="21">
        <v>16</v>
      </c>
      <c r="W20" s="176"/>
      <c r="AA20" s="176"/>
      <c r="AF20" s="176"/>
    </row>
    <row r="21" spans="2:32" x14ac:dyDescent="0.3">
      <c r="B21" s="89" t="s">
        <v>699</v>
      </c>
      <c r="C21" s="89" t="s">
        <v>708</v>
      </c>
      <c r="M21" s="176"/>
      <c r="R21" s="21">
        <v>17</v>
      </c>
      <c r="W21" s="176"/>
      <c r="AA21" s="176"/>
      <c r="AF21" s="176"/>
    </row>
    <row r="22" spans="2:32" x14ac:dyDescent="0.3">
      <c r="C22" s="89" t="s">
        <v>524</v>
      </c>
      <c r="M22" s="176"/>
      <c r="R22" s="21">
        <v>18</v>
      </c>
      <c r="W22" s="176"/>
      <c r="AA22" s="176"/>
      <c r="AF22" s="176"/>
    </row>
    <row r="23" spans="2:32" x14ac:dyDescent="0.3">
      <c r="C23" s="89" t="s">
        <v>709</v>
      </c>
      <c r="M23" s="176"/>
      <c r="R23" s="21">
        <v>19</v>
      </c>
      <c r="W23" s="176"/>
      <c r="AA23" s="176"/>
      <c r="AF23" s="176"/>
    </row>
    <row r="24" spans="2:32" x14ac:dyDescent="0.3">
      <c r="C24" s="89" t="s">
        <v>525</v>
      </c>
      <c r="R24" s="21">
        <v>20</v>
      </c>
      <c r="W24" s="176"/>
      <c r="AA24" s="176"/>
      <c r="AF24" s="176"/>
    </row>
    <row r="25" spans="2:32" x14ac:dyDescent="0.3">
      <c r="C25" s="89" t="s">
        <v>528</v>
      </c>
      <c r="R25" s="21">
        <v>21</v>
      </c>
      <c r="W25" s="176"/>
      <c r="AA25" s="176"/>
      <c r="AF25" s="176"/>
    </row>
    <row r="26" spans="2:32" x14ac:dyDescent="0.3">
      <c r="C26" s="89" t="s">
        <v>710</v>
      </c>
      <c r="R26" s="21">
        <v>22</v>
      </c>
      <c r="W26" s="176"/>
      <c r="AA26" s="176"/>
      <c r="AF26" s="176"/>
    </row>
    <row r="27" spans="2:32" x14ac:dyDescent="0.3">
      <c r="C27" s="89" t="s">
        <v>711</v>
      </c>
      <c r="R27" s="21">
        <v>23</v>
      </c>
      <c r="W27" s="176"/>
      <c r="AA27" s="176"/>
      <c r="AF27" s="176"/>
    </row>
    <row r="28" spans="2:32" x14ac:dyDescent="0.3">
      <c r="C28" s="89" t="s">
        <v>712</v>
      </c>
      <c r="R28" s="21">
        <v>24</v>
      </c>
      <c r="W28" s="176"/>
      <c r="AA28" s="176"/>
      <c r="AF28" s="176"/>
    </row>
    <row r="29" spans="2:32" x14ac:dyDescent="0.3">
      <c r="R29" s="21">
        <v>25</v>
      </c>
      <c r="W29" s="176"/>
      <c r="AA29" s="176"/>
      <c r="AF29" s="176"/>
    </row>
    <row r="30" spans="2:32" x14ac:dyDescent="0.3">
      <c r="B30" s="89" t="s">
        <v>700</v>
      </c>
      <c r="C30" s="89" t="s">
        <v>713</v>
      </c>
      <c r="AA30" s="176"/>
      <c r="AF30" s="176"/>
    </row>
    <row r="31" spans="2:32" x14ac:dyDescent="0.3">
      <c r="C31" s="89" t="s">
        <v>714</v>
      </c>
      <c r="AA31" s="176"/>
      <c r="AF31" s="176"/>
    </row>
    <row r="32" spans="2:32" x14ac:dyDescent="0.3">
      <c r="C32" s="89" t="s">
        <v>715</v>
      </c>
      <c r="AA32" s="176"/>
      <c r="AF32" s="176"/>
    </row>
    <row r="33" spans="2:32" x14ac:dyDescent="0.3">
      <c r="C33" s="89" t="s">
        <v>716</v>
      </c>
      <c r="AA33" s="176"/>
      <c r="AF33" s="176"/>
    </row>
    <row r="34" spans="2:32" x14ac:dyDescent="0.3">
      <c r="C34" s="89" t="s">
        <v>717</v>
      </c>
      <c r="AA34" s="176"/>
      <c r="AF34" s="176"/>
    </row>
    <row r="35" spans="2:32" x14ac:dyDescent="0.3">
      <c r="C35" s="89" t="s">
        <v>718</v>
      </c>
      <c r="AA35" s="176"/>
      <c r="AF35" s="176"/>
    </row>
    <row r="36" spans="2:32" x14ac:dyDescent="0.3">
      <c r="C36" s="89" t="s">
        <v>719</v>
      </c>
      <c r="AA36" s="176"/>
      <c r="AF36" s="176"/>
    </row>
    <row r="37" spans="2:32" x14ac:dyDescent="0.3">
      <c r="C37" s="89" t="s">
        <v>720</v>
      </c>
      <c r="AA37" s="176"/>
      <c r="AF37" s="176"/>
    </row>
    <row r="38" spans="2:32" x14ac:dyDescent="0.3">
      <c r="AA38" s="176"/>
      <c r="AF38" s="176"/>
    </row>
    <row r="39" spans="2:32" x14ac:dyDescent="0.3">
      <c r="B39" s="89" t="s">
        <v>701</v>
      </c>
      <c r="C39" s="89" t="s">
        <v>721</v>
      </c>
      <c r="AA39" s="176"/>
      <c r="AF39" s="176"/>
    </row>
    <row r="40" spans="2:32" x14ac:dyDescent="0.3">
      <c r="C40" s="89" t="s">
        <v>722</v>
      </c>
      <c r="AA40" s="176"/>
      <c r="AF40" s="176"/>
    </row>
    <row r="41" spans="2:32" x14ac:dyDescent="0.3">
      <c r="C41" s="89" t="s">
        <v>723</v>
      </c>
      <c r="AF41" s="176"/>
    </row>
    <row r="42" spans="2:32" x14ac:dyDescent="0.3">
      <c r="C42" s="89" t="s">
        <v>724</v>
      </c>
      <c r="AF42" s="176"/>
    </row>
    <row r="43" spans="2:32" x14ac:dyDescent="0.3">
      <c r="C43" s="89" t="s">
        <v>725</v>
      </c>
      <c r="AF43" s="176"/>
    </row>
    <row r="44" spans="2:32" x14ac:dyDescent="0.3">
      <c r="AF44" s="176"/>
    </row>
    <row r="45" spans="2:32" x14ac:dyDescent="0.3">
      <c r="B45" s="89" t="s">
        <v>532</v>
      </c>
      <c r="C45" s="89" t="s">
        <v>726</v>
      </c>
      <c r="AF45" s="176"/>
    </row>
    <row r="46" spans="2:32" x14ac:dyDescent="0.3">
      <c r="C46" s="89" t="s">
        <v>727</v>
      </c>
      <c r="AF46" s="176"/>
    </row>
    <row r="47" spans="2:32" x14ac:dyDescent="0.3">
      <c r="C47" s="89" t="s">
        <v>728</v>
      </c>
      <c r="AF47" s="176"/>
    </row>
    <row r="48" spans="2:32" x14ac:dyDescent="0.3">
      <c r="C48" s="89" t="s">
        <v>729</v>
      </c>
      <c r="AF48" s="176"/>
    </row>
    <row r="49" spans="2:32" x14ac:dyDescent="0.3">
      <c r="AF49" s="176"/>
    </row>
    <row r="50" spans="2:32" x14ac:dyDescent="0.3">
      <c r="B50" s="89" t="s">
        <v>702</v>
      </c>
      <c r="C50" s="89" t="s">
        <v>730</v>
      </c>
      <c r="AF50" s="176"/>
    </row>
    <row r="51" spans="2:32" x14ac:dyDescent="0.3">
      <c r="C51" s="89" t="s">
        <v>731</v>
      </c>
      <c r="AF51" s="176"/>
    </row>
    <row r="52" spans="2:32" x14ac:dyDescent="0.3">
      <c r="C52" s="89" t="s">
        <v>732</v>
      </c>
      <c r="AF52" s="176"/>
    </row>
    <row r="53" spans="2:32" x14ac:dyDescent="0.3">
      <c r="C53" s="89" t="s">
        <v>733</v>
      </c>
      <c r="AF53" s="176"/>
    </row>
    <row r="54" spans="2:32" x14ac:dyDescent="0.3">
      <c r="AF54" s="176"/>
    </row>
    <row r="55" spans="2:32" x14ac:dyDescent="0.3">
      <c r="AF55" s="176"/>
    </row>
    <row r="56" spans="2:32" x14ac:dyDescent="0.3">
      <c r="AF56" s="176"/>
    </row>
    <row r="57" spans="2:32" x14ac:dyDescent="0.3">
      <c r="AF57" s="176"/>
    </row>
    <row r="58" spans="2:32" x14ac:dyDescent="0.3">
      <c r="AF58" s="176"/>
    </row>
  </sheetData>
  <sheetProtection formatCells="0" formatColumns="0" formatRows="0" insertHyperlinks="0" selectLockedCells="1" autoFilter="0"/>
  <sortState xmlns:xlrd2="http://schemas.microsoft.com/office/spreadsheetml/2017/richdata2" ref="AC13:AD10000">
    <sortCondition ref="AC13"/>
  </sortState>
  <dataConsolidate/>
  <mergeCells count="5">
    <mergeCell ref="M11:M23"/>
    <mergeCell ref="W11:W29"/>
    <mergeCell ref="AA11:AA40"/>
    <mergeCell ref="AF11:AF58"/>
    <mergeCell ref="R11:S11"/>
  </mergeCells>
  <pageMargins left="0.7" right="0.7" top="0.78740157499999996" bottom="0.78740157499999996"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64871" r:id="rId4" name="Dropdown_Seitenwaehler02">
              <controlPr defaultSize="0" autoLine="0" autoPict="0" macro="[0]!seitenwähler">
                <anchor moveWithCells="1">
                  <from>
                    <xdr:col>0</xdr:col>
                    <xdr:colOff>2095500</xdr:colOff>
                    <xdr:row>3</xdr:row>
                    <xdr:rowOff>0</xdr:rowOff>
                  </from>
                  <to>
                    <xdr:col>1</xdr:col>
                    <xdr:colOff>1323975</xdr:colOff>
                    <xdr:row>4</xdr:row>
                    <xdr:rowOff>28575</xdr:rowOff>
                  </to>
                </anchor>
              </controlPr>
            </control>
          </mc:Choice>
        </mc:AlternateContent>
        <mc:AlternateContent xmlns:mc="http://schemas.openxmlformats.org/markup-compatibility/2006">
          <mc:Choice Requires="x14">
            <control shapeId="164872" r:id="rId5" name="Dropdown_Sprachwaehler02">
              <controlPr defaultSize="0" autoLine="0" autoPict="0" macro="[0]!toDosNachSprachwechsel">
                <anchor moveWithCells="1">
                  <from>
                    <xdr:col>0</xdr:col>
                    <xdr:colOff>2095500</xdr:colOff>
                    <xdr:row>1</xdr:row>
                    <xdr:rowOff>485775</xdr:rowOff>
                  </from>
                  <to>
                    <xdr:col>1</xdr:col>
                    <xdr:colOff>1323975</xdr:colOff>
                    <xdr:row>3</xdr:row>
                    <xdr:rowOff>28575</xdr:rowOff>
                  </to>
                </anchor>
              </controlPr>
            </control>
          </mc:Choice>
        </mc:AlternateContent>
        <mc:AlternateContent xmlns:mc="http://schemas.openxmlformats.org/markup-compatibility/2006">
          <mc:Choice Requires="x14">
            <control shapeId="198435" r:id="rId6" name="Check Box 23331">
              <controlPr locked="0" defaultSize="0" autoFill="0" autoLine="0" autoPict="0">
                <anchor moveWithCells="1">
                  <from>
                    <xdr:col>14</xdr:col>
                    <xdr:colOff>1485900</xdr:colOff>
                    <xdr:row>11</xdr:row>
                    <xdr:rowOff>28575</xdr:rowOff>
                  </from>
                  <to>
                    <xdr:col>14</xdr:col>
                    <xdr:colOff>1790700</xdr:colOff>
                    <xdr:row>12</xdr:row>
                    <xdr:rowOff>0</xdr:rowOff>
                  </to>
                </anchor>
              </controlPr>
            </control>
          </mc:Choice>
        </mc:AlternateContent>
        <mc:AlternateContent xmlns:mc="http://schemas.openxmlformats.org/markup-compatibility/2006">
          <mc:Choice Requires="x14">
            <control shapeId="198436" r:id="rId7" name="Check Box 23332">
              <controlPr locked="0" defaultSize="0" autoFill="0" autoLine="0" autoPict="0">
                <anchor moveWithCells="1">
                  <from>
                    <xdr:col>14</xdr:col>
                    <xdr:colOff>1485900</xdr:colOff>
                    <xdr:row>12</xdr:row>
                    <xdr:rowOff>28575</xdr:rowOff>
                  </from>
                  <to>
                    <xdr:col>14</xdr:col>
                    <xdr:colOff>1790700</xdr:colOff>
                    <xdr:row>13</xdr:row>
                    <xdr:rowOff>0</xdr:rowOff>
                  </to>
                </anchor>
              </controlPr>
            </control>
          </mc:Choice>
        </mc:AlternateContent>
        <mc:AlternateContent xmlns:mc="http://schemas.openxmlformats.org/markup-compatibility/2006">
          <mc:Choice Requires="x14">
            <control shapeId="198437" r:id="rId8" name="Check Box 23333">
              <controlPr locked="0" defaultSize="0" autoFill="0" autoLine="0" autoPict="0">
                <anchor moveWithCells="1">
                  <from>
                    <xdr:col>14</xdr:col>
                    <xdr:colOff>1485900</xdr:colOff>
                    <xdr:row>13</xdr:row>
                    <xdr:rowOff>0</xdr:rowOff>
                  </from>
                  <to>
                    <xdr:col>14</xdr:col>
                    <xdr:colOff>1790700</xdr:colOff>
                    <xdr:row>13</xdr:row>
                    <xdr:rowOff>219075</xdr:rowOff>
                  </to>
                </anchor>
              </controlPr>
            </control>
          </mc:Choice>
        </mc:AlternateContent>
        <mc:AlternateContent xmlns:mc="http://schemas.openxmlformats.org/markup-compatibility/2006">
          <mc:Choice Requires="x14">
            <control shapeId="198438" r:id="rId9" name="Check Box 23334">
              <controlPr locked="0" defaultSize="0" autoFill="0" autoLine="0" autoPict="0">
                <anchor moveWithCells="1">
                  <from>
                    <xdr:col>14</xdr:col>
                    <xdr:colOff>1485900</xdr:colOff>
                    <xdr:row>14</xdr:row>
                    <xdr:rowOff>0</xdr:rowOff>
                  </from>
                  <to>
                    <xdr:col>14</xdr:col>
                    <xdr:colOff>1790700</xdr:colOff>
                    <xdr:row>14</xdr:row>
                    <xdr:rowOff>219075</xdr:rowOff>
                  </to>
                </anchor>
              </controlPr>
            </control>
          </mc:Choice>
        </mc:AlternateContent>
        <mc:AlternateContent xmlns:mc="http://schemas.openxmlformats.org/markup-compatibility/2006">
          <mc:Choice Requires="x14">
            <control shapeId="198440" r:id="rId10" name="Check Box 23336">
              <controlPr locked="0" defaultSize="0" autoFill="0" autoLine="0" autoPict="0">
                <anchor moveWithCells="1">
                  <from>
                    <xdr:col>14</xdr:col>
                    <xdr:colOff>1485900</xdr:colOff>
                    <xdr:row>15</xdr:row>
                    <xdr:rowOff>0</xdr:rowOff>
                  </from>
                  <to>
                    <xdr:col>14</xdr:col>
                    <xdr:colOff>1790700</xdr:colOff>
                    <xdr:row>15</xdr:row>
                    <xdr:rowOff>219075</xdr:rowOff>
                  </to>
                </anchor>
              </controlPr>
            </control>
          </mc:Choice>
        </mc:AlternateContent>
        <mc:AlternateContent xmlns:mc="http://schemas.openxmlformats.org/markup-compatibility/2006">
          <mc:Choice Requires="x14">
            <control shapeId="198441" r:id="rId11" name="Check Box 23337">
              <controlPr locked="0" defaultSize="0" autoFill="0" autoLine="0" autoPict="0">
                <anchor moveWithCells="1">
                  <from>
                    <xdr:col>14</xdr:col>
                    <xdr:colOff>1485900</xdr:colOff>
                    <xdr:row>16</xdr:row>
                    <xdr:rowOff>0</xdr:rowOff>
                  </from>
                  <to>
                    <xdr:col>14</xdr:col>
                    <xdr:colOff>1790700</xdr:colOff>
                    <xdr:row>17</xdr:row>
                    <xdr:rowOff>28575</xdr:rowOff>
                  </to>
                </anchor>
              </controlPr>
            </control>
          </mc:Choice>
        </mc:AlternateContent>
        <mc:AlternateContent xmlns:mc="http://schemas.openxmlformats.org/markup-compatibility/2006">
          <mc:Choice Requires="x14">
            <control shapeId="198442" r:id="rId12" name="Check Box 23338">
              <controlPr locked="0" defaultSize="0" autoFill="0" autoLine="0" autoPict="0">
                <anchor moveWithCells="1">
                  <from>
                    <xdr:col>14</xdr:col>
                    <xdr:colOff>1485900</xdr:colOff>
                    <xdr:row>17</xdr:row>
                    <xdr:rowOff>0</xdr:rowOff>
                  </from>
                  <to>
                    <xdr:col>14</xdr:col>
                    <xdr:colOff>1790700</xdr:colOff>
                    <xdr:row>18</xdr:row>
                    <xdr:rowOff>28575</xdr:rowOff>
                  </to>
                </anchor>
              </controlPr>
            </control>
          </mc:Choice>
        </mc:AlternateContent>
        <mc:AlternateContent xmlns:mc="http://schemas.openxmlformats.org/markup-compatibility/2006">
          <mc:Choice Requires="x14">
            <control shapeId="198443" r:id="rId13" name="Check Box 23339">
              <controlPr locked="0" defaultSize="0" autoFill="0" autoLine="0" autoPict="0">
                <anchor moveWithCells="1">
                  <from>
                    <xdr:col>14</xdr:col>
                    <xdr:colOff>1485900</xdr:colOff>
                    <xdr:row>18</xdr:row>
                    <xdr:rowOff>0</xdr:rowOff>
                  </from>
                  <to>
                    <xdr:col>14</xdr:col>
                    <xdr:colOff>1790700</xdr:colOff>
                    <xdr:row>19</xdr:row>
                    <xdr:rowOff>28575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4"/>
  <dimension ref="A1:R32"/>
  <sheetViews>
    <sheetView workbookViewId="0">
      <pane ySplit="11" topLeftCell="A12" activePane="bottomLeft" state="frozenSplit"/>
      <selection pane="bottomLeft" activeCell="A12" sqref="A12"/>
    </sheetView>
  </sheetViews>
  <sheetFormatPr baseColWidth="10" defaultColWidth="11.42578125" defaultRowHeight="16.5" x14ac:dyDescent="0.3"/>
  <cols>
    <col min="1" max="18" width="31.5703125" style="89" customWidth="1"/>
    <col min="19" max="16384" width="11.42578125" style="4"/>
  </cols>
  <sheetData>
    <row r="1" spans="1:18" s="1" customFormat="1" ht="111" customHeight="1" x14ac:dyDescent="0.3"/>
    <row r="2" spans="1:18" s="1" customFormat="1" ht="37.5" customHeight="1" thickBot="1" x14ac:dyDescent="0.35">
      <c r="A2" s="6" t="str">
        <f>mehrsprachigkeitBegriffsrückgabe(gewählteSpracheZurückgeben(),"MERCONIS PRODUCT MANAGER: Basic parameters")</f>
        <v>MERCONIS PRODUCT MANAGER: Basisparameter</v>
      </c>
      <c r="I2" s="94"/>
    </row>
    <row r="3" spans="1:18" s="1" customFormat="1" ht="15.75" customHeight="1" thickBot="1" x14ac:dyDescent="0.35">
      <c r="A3" s="131" t="str">
        <f>mehrsprachigkeitBegriffsrückgabe(gewählteSpracheZurückgeben(),"Language")</f>
        <v>Sprache</v>
      </c>
      <c r="B3" s="40">
        <v>2</v>
      </c>
    </row>
    <row r="4" spans="1:18" s="5" customFormat="1" ht="15.75" customHeight="1" thickBot="1" x14ac:dyDescent="0.3">
      <c r="A4" s="131" t="str">
        <f>mehrsprachigkeitBegriffsrückgabe(gewählteSpracheZurückgeben(),"Go to page")</f>
        <v>Gehe zu Seite</v>
      </c>
      <c r="B4" s="40">
        <v>0</v>
      </c>
    </row>
    <row r="5" spans="1:18" s="1" customFormat="1" ht="6" customHeight="1" thickBot="1" x14ac:dyDescent="0.35"/>
    <row r="6" spans="1:18" s="1" customFormat="1" hidden="1" x14ac:dyDescent="0.3">
      <c r="A6" s="8"/>
      <c r="B6" s="8">
        <v>1</v>
      </c>
      <c r="C6" s="8">
        <v>1</v>
      </c>
      <c r="D6" s="8"/>
      <c r="E6" s="8"/>
      <c r="F6" s="8"/>
      <c r="G6" s="8"/>
      <c r="H6" s="8"/>
      <c r="I6" s="8"/>
      <c r="J6" s="8"/>
      <c r="K6" s="8"/>
      <c r="L6" s="8"/>
      <c r="M6" s="8"/>
      <c r="N6" s="8"/>
      <c r="O6" s="8"/>
      <c r="P6" s="8"/>
      <c r="Q6" s="8"/>
      <c r="R6" s="8"/>
    </row>
    <row r="7" spans="1:18" s="1" customFormat="1" hidden="1" x14ac:dyDescent="0.3">
      <c r="A7" s="8"/>
      <c r="B7" s="8"/>
      <c r="C7" s="8"/>
      <c r="D7" s="8"/>
      <c r="E7" s="8"/>
      <c r="F7" s="8"/>
      <c r="G7" s="8"/>
      <c r="H7" s="8"/>
      <c r="I7" s="8"/>
      <c r="J7" s="8"/>
      <c r="K7" s="8"/>
      <c r="L7" s="8"/>
      <c r="M7" s="8"/>
      <c r="N7" s="8"/>
      <c r="O7" s="8"/>
      <c r="P7" s="8"/>
      <c r="Q7" s="8"/>
      <c r="R7" s="8"/>
    </row>
    <row r="8" spans="1:18" s="1" customFormat="1" hidden="1" x14ac:dyDescent="0.3">
      <c r="A8" s="8"/>
      <c r="B8" s="8"/>
      <c r="C8" s="8"/>
      <c r="D8" s="8"/>
      <c r="E8" s="8"/>
      <c r="F8" s="8"/>
      <c r="G8" s="8"/>
      <c r="H8" s="8"/>
      <c r="I8" s="8"/>
      <c r="J8" s="8"/>
      <c r="K8" s="8"/>
      <c r="L8" s="8"/>
      <c r="M8" s="8"/>
      <c r="N8" s="8"/>
      <c r="O8" s="8"/>
      <c r="P8" s="8"/>
      <c r="Q8" s="8"/>
      <c r="R8" s="8"/>
    </row>
    <row r="9" spans="1:18" s="1" customFormat="1" hidden="1" x14ac:dyDescent="0.3">
      <c r="A9" s="8"/>
      <c r="B9" s="8"/>
      <c r="C9" s="8"/>
      <c r="D9" s="8"/>
      <c r="E9" s="8"/>
      <c r="F9" s="8"/>
      <c r="G9" s="8"/>
      <c r="H9" s="8"/>
      <c r="I9" s="8"/>
      <c r="J9" s="8"/>
      <c r="K9" s="8"/>
      <c r="L9" s="8"/>
      <c r="M9" s="8"/>
      <c r="N9" s="8"/>
      <c r="O9" s="8"/>
      <c r="P9" s="8"/>
      <c r="Q9" s="8"/>
      <c r="R9" s="8"/>
    </row>
    <row r="10" spans="1:18" s="1" customFormat="1" ht="26.25" hidden="1" thickBot="1" x14ac:dyDescent="0.35">
      <c r="A10" s="8" t="s">
        <v>0</v>
      </c>
      <c r="B10" s="8" t="s">
        <v>1</v>
      </c>
      <c r="C10" s="8" t="s">
        <v>2</v>
      </c>
      <c r="D10" s="8" t="s">
        <v>3</v>
      </c>
      <c r="E10" s="8" t="s">
        <v>53</v>
      </c>
      <c r="F10" s="8" t="s">
        <v>55</v>
      </c>
      <c r="G10" s="8" t="s">
        <v>91</v>
      </c>
      <c r="H10" s="8" t="s">
        <v>58</v>
      </c>
      <c r="I10" s="8" t="s">
        <v>63</v>
      </c>
      <c r="J10" s="8" t="s">
        <v>64</v>
      </c>
      <c r="K10" s="8" t="s">
        <v>218</v>
      </c>
      <c r="L10" s="8" t="s">
        <v>128</v>
      </c>
      <c r="M10" s="8" t="s">
        <v>129</v>
      </c>
      <c r="N10" s="8" t="s">
        <v>130</v>
      </c>
      <c r="O10" s="8" t="s">
        <v>131</v>
      </c>
      <c r="P10" s="8" t="s">
        <v>92</v>
      </c>
      <c r="Q10" s="8" t="s">
        <v>92</v>
      </c>
      <c r="R10" s="8" t="s">
        <v>92</v>
      </c>
    </row>
    <row r="11" spans="1:18" s="9" customFormat="1" ht="17.25" thickBot="1" x14ac:dyDescent="0.35">
      <c r="A11" s="137" t="str">
        <f>mehrsprachigkeitBegriffsrückgabe(gewählteSpracheZurückgeben(),"Ignore")</f>
        <v>Importsperre</v>
      </c>
      <c r="B11" s="137" t="str">
        <f>mehrsprachigkeitBegriffsrückgabe(gewählteSpracheZurückgeben(),"Delete")</f>
        <v>Löschen</v>
      </c>
      <c r="C11" s="137" t="str">
        <f>mehrsprachigkeitBegriffsrückgabe(gewählteSpracheZurückgeben(),"Publish")</f>
        <v>Veröffentlichen</v>
      </c>
      <c r="D11" s="137" t="str">
        <f>mehrsprachigkeitBegriffsrückgabe(gewählteSpracheZurückgeben(),"Type")</f>
        <v>Typ</v>
      </c>
      <c r="E11" s="137" t="str">
        <f>mehrsprachigkeitBegriffsrückgabe(gewählteSpracheZurückgeben(),"Price: Price type")</f>
        <v>Preis: Art der Preisangabe</v>
      </c>
      <c r="F11" s="137" t="str">
        <f>mehrsprachigkeitBegriffsrückgabe(gewählteSpracheZurückgeben(),"Old price: Price type")</f>
        <v>Alter Preis: Art der Preisangabe</v>
      </c>
      <c r="G11" s="137" t="str">
        <f>mehrsprachigkeitBegriffsrückgabe(gewählteSpracheZurückgeben(),"Old price: Use")</f>
        <v>Alter Preis: Verwenden</v>
      </c>
      <c r="H11" s="137" t="str">
        <f>mehrsprachigkeitBegriffsrückgabe(gewählteSpracheZurückgeben(),"Weight type")</f>
        <v>Art der Gewichtsangabe</v>
      </c>
      <c r="I11" s="137" t="str">
        <f>mehrsprachigkeitBegriffsrückgabe(gewählteSpracheZurückgeben(),"New")</f>
        <v>Neuheit</v>
      </c>
      <c r="J11" s="137" t="str">
        <f>mehrsprachigkeitBegriffsrückgabe(gewählteSpracheZurückgeben(),"On sale")</f>
        <v>Sonderpreis</v>
      </c>
      <c r="K11" s="137" t="str">
        <f>mehrsprachigkeitBegriffsrückgabe(gewählteSpracheZurückgeben(),"Use group prices")</f>
        <v>Gruppenpreis anwenden</v>
      </c>
      <c r="L11" s="137" t="str">
        <f>mehrsprachigkeitBegriffsrückgabe(gewählteSpracheZurückgeben(),"Use scale price")</f>
        <v>Staffelpreis anwenden</v>
      </c>
      <c r="M11" s="137" t="str">
        <f>mehrsprachigkeitBegriffsrückgabe(gewählteSpracheZurückgeben(),"Scale price type")</f>
        <v>Art der Staffelpreisangabe</v>
      </c>
      <c r="N11" s="137" t="str">
        <f>mehrsprachigkeitBegriffsrückgabe(gewählteSpracheZurückgeben(),"Quantity detection method")</f>
        <v>Methode zur Mengenermittlung</v>
      </c>
      <c r="O11" s="137" t="str">
        <f>mehrsprachigkeitBegriffsrückgabe(gewählteSpracheZurückgeben(),"Always separate different configurations")</f>
        <v>Unterschiedliche Konfigurationen stets trennen</v>
      </c>
      <c r="P11" s="137" t="str">
        <f>mehrsprachigkeitBegriffsrückgabe(gewählteSpracheZurückgeben(),"Sheet names")</f>
        <v>Tabellenblattnamen</v>
      </c>
      <c r="Q11" s="137" t="str">
        <f>mehrsprachigkeitBegriffsrückgabe(gewählteSpracheZurückgeben(),"Languages")</f>
        <v>Sprachen</v>
      </c>
      <c r="R11" s="137" t="str">
        <f>mehrsprachigkeitBegriffsrückgabe(gewählteSpracheZurückgeben(),"Actions01")</f>
        <v>Aktionen01</v>
      </c>
    </row>
    <row r="12" spans="1:18" x14ac:dyDescent="0.3">
      <c r="A12" s="133">
        <v>1</v>
      </c>
      <c r="B12" s="133">
        <v>1</v>
      </c>
      <c r="C12" s="133">
        <v>1</v>
      </c>
      <c r="D12" s="89" t="str">
        <f>mehrsprachigkeitBegriffsrückgabe(gewählteSpracheZurückgeben(),"Product")</f>
        <v>Produkt</v>
      </c>
      <c r="E12" s="89" t="str">
        <f>mehrsprachigkeitBegriffsrückgabe(gewählteSpracheZurückgeben(),"Independent price")</f>
        <v>Eigenständiger Preis</v>
      </c>
      <c r="F12" s="89" t="str">
        <f>mehrsprachigkeitBegriffsrückgabe(gewählteSpracheZurückgeben(),"Independent price")</f>
        <v>Eigenständiger Preis</v>
      </c>
      <c r="G12" s="133">
        <v>1</v>
      </c>
      <c r="H12" s="133" t="str">
        <f>mehrsprachigkeitBegriffsrückgabe(gewählteSpracheZurückgeben(),"Independent weight")</f>
        <v>Eigenständiges Gewicht</v>
      </c>
      <c r="I12" s="133">
        <v>1</v>
      </c>
      <c r="J12" s="133">
        <v>1</v>
      </c>
      <c r="K12" s="133">
        <v>1</v>
      </c>
      <c r="L12" s="133">
        <v>1</v>
      </c>
      <c r="M12" s="133" t="str">
        <f>mehrsprachigkeitBegriffsrückgabe(gewählteSpracheZurückgeben(),"Fixed scale price")</f>
        <v>Feste Preisangabe</v>
      </c>
      <c r="N12" s="133" t="str">
        <f>mehrsprachigkeitBegriffsrückgabe(gewählteSpracheZurückgeben(),"Separated by products, variants and configurations")</f>
        <v>Produkte, Varianten und Konfigurationen getrennt</v>
      </c>
      <c r="O12" s="133">
        <v>1</v>
      </c>
      <c r="P12" s="133" t="str">
        <f>mehrsprachigkeitBegriffsrückgabe(gewählteSpracheZurückgeben(),"ProductManagement")</f>
        <v>Produktverwaltung</v>
      </c>
      <c r="Q12" s="133" t="s">
        <v>102</v>
      </c>
      <c r="R12" s="133" t="str">
        <f>mehrsprachigkeitBegriffsrückgabe(gewählteSpracheZurückgeben(),"Delete &gt;&gt;marked for deletion&lt;&lt;")</f>
        <v>Löschen &gt;&gt;zu löschende&lt;&lt;</v>
      </c>
    </row>
    <row r="13" spans="1:18" x14ac:dyDescent="0.3">
      <c r="D13" s="89" t="str">
        <f>mehrsprachigkeitBegriffsrückgabe(gewählteSpracheZurückgeben(),"Variant")</f>
        <v>Variante</v>
      </c>
      <c r="E13" s="133" t="str">
        <f>mehrsprachigkeitBegriffsrückgabe(gewählteSpracheZurückgeben(),"Percent")</f>
        <v>Prozentuale Anpassung</v>
      </c>
      <c r="F13" s="133" t="str">
        <f>mehrsprachigkeitBegriffsrückgabe(gewählteSpracheZurückgeben(),"Percent")</f>
        <v>Prozentuale Anpassung</v>
      </c>
      <c r="G13" s="133"/>
      <c r="H13" s="133" t="str">
        <f>mehrsprachigkeitBegriffsrückgabe(gewählteSpracheZurückgeben(),"Percent")</f>
        <v>Prozentuale Anpassung</v>
      </c>
      <c r="K13" s="133"/>
      <c r="L13" s="133"/>
      <c r="M13" s="133" t="str">
        <f>mehrsprachigkeitBegriffsrückgabe(gewählteSpracheZurückgeben(),"Percentaged adjustment")</f>
        <v>Prozentuale Anpassung</v>
      </c>
      <c r="N13" s="133" t="str">
        <f>mehrsprachigkeitBegriffsrückgabe(gewählteSpracheZurückgeben(),"Separated by products and variants")</f>
        <v>Produkte und Varianten getrennt</v>
      </c>
      <c r="P13" s="133" t="str">
        <f>mehrsprachigkeitBegriffsrückgabe(gewählteSpracheZurückgeben(),"Configuration")</f>
        <v>Konfiguration</v>
      </c>
      <c r="Q13" s="133" t="s">
        <v>75</v>
      </c>
      <c r="R13" s="133" t="str">
        <f>mehrsprachigkeitBegriffsrückgabe(gewählteSpracheZurückgeben(),"Delete &gt;&gt;ignored products&lt;&lt;")</f>
        <v>Löschen &gt;&gt;mit Importsperre&lt;&lt;</v>
      </c>
    </row>
    <row r="14" spans="1:18" x14ac:dyDescent="0.3">
      <c r="D14" s="89" t="str">
        <f>mehrsprachigkeitBegriffsrückgabe(gewählteSpracheZurückgeben(),"Product (foreign language)")</f>
        <v>Produkt (Fremdsprache)</v>
      </c>
      <c r="E14" s="89" t="str">
        <f>mehrsprachigkeitBegriffsrückgabe(gewählteSpracheZurückgeben(),"Fixed price")</f>
        <v>Anpassung mit fixem Preis</v>
      </c>
      <c r="F14" s="89" t="str">
        <f>mehrsprachigkeitBegriffsrückgabe(gewählteSpracheZurückgeben(),"Fixed price")</f>
        <v>Anpassung mit fixem Preis</v>
      </c>
      <c r="G14" s="133"/>
      <c r="H14" s="133" t="str">
        <f>mehrsprachigkeitBegriffsrückgabe(gewählteSpracheZurückgeben(),"Fixed weight")</f>
        <v>Anpassung mit fixem Gewicht</v>
      </c>
      <c r="K14" s="133"/>
      <c r="L14" s="133"/>
      <c r="M14" s="133" t="str">
        <f>mehrsprachigkeitBegriffsrückgabe(gewählteSpracheZurückgeben(),"Adjustment with a fixed value")</f>
        <v>Anpassung mit festem Wert</v>
      </c>
      <c r="N14" s="133" t="str">
        <f>mehrsprachigkeitBegriffsrückgabe(gewählteSpracheZurückgeben(),"Separated by products")</f>
        <v>Produkte getrennt</v>
      </c>
      <c r="P14" s="133" t="str">
        <f>mehrsprachigkeitBegriffsrückgabe(gewählteSpracheZurückgeben(),"BasicParameters")</f>
        <v>Basisparameter</v>
      </c>
      <c r="Q14" s="133"/>
      <c r="R14" s="133" t="str">
        <f>mehrsprachigkeitBegriffsrückgabe(gewählteSpracheZurückgeben(),"Parent product code &gt;&gt;semi auto mode (run now)&lt;&lt;")</f>
        <v>Übergeordnete Art.-Nr. &gt;&gt;halbautom. (jetzt)&lt;&lt;</v>
      </c>
    </row>
    <row r="15" spans="1:18" x14ac:dyDescent="0.3">
      <c r="D15" s="89" t="str">
        <f>mehrsprachigkeitBegriffsrückgabe(gewählteSpracheZurückgeben(),"Variant (foreign language)")</f>
        <v>Variante (Fremdsprache)</v>
      </c>
      <c r="E15" s="133"/>
      <c r="G15" s="133"/>
      <c r="H15" s="133"/>
      <c r="K15" s="133"/>
      <c r="L15" s="133"/>
      <c r="M15" s="133"/>
      <c r="N15" s="133" t="str">
        <f>mehrsprachigkeitBegriffsrückgabe(gewählteSpracheZurückgeben(),"Summarized by scale price keyword")</f>
        <v>Zusammengefasst nach Staffelpreis-Schlüsselwort</v>
      </c>
      <c r="P15" s="133" t="str">
        <f>mehrsprachigkeitBegriffsrückgabe(gewählteSpracheZurückgeben(),"DeletionLog")</f>
        <v>Löschprotokoll</v>
      </c>
      <c r="Q15" s="133"/>
      <c r="R15" s="133" t="str">
        <f>mehrsprachigkeitBegriffsrückgabe(gewählteSpracheZurückgeben(),"Parent product code &gt;&gt;full auto mode&lt;&lt;")</f>
        <v>Übergeordnete Art.-Nr. &gt;&gt;vollautom. ermitteln&lt;&lt;</v>
      </c>
    </row>
    <row r="16" spans="1:18" x14ac:dyDescent="0.3">
      <c r="D16" s="89" t="s">
        <v>137</v>
      </c>
      <c r="R16" s="133" t="str">
        <f>mehrsprachigkeitBegriffsrückgabe(gewählteSpracheZurückgeben(),"Export &gt;&gt;as CSV file&lt;&lt;")</f>
        <v>Exportieren &gt;&gt;als CSV-Datei&lt;&lt;</v>
      </c>
    </row>
    <row r="17" spans="2:18" x14ac:dyDescent="0.3">
      <c r="R17" s="133" t="str">
        <f>mehrsprachigkeitBegriffsrückgabe(gewählteSpracheZurückgeben(),"Export marked rows &gt;&gt;as CSV file&lt;&lt;")</f>
        <v>Markierte Zeilen exportieren &gt;&gt;als CSV-Datei&lt;&lt;</v>
      </c>
    </row>
    <row r="18" spans="2:18" x14ac:dyDescent="0.3">
      <c r="R18" s="89" t="str">
        <f>mehrsprachigkeitBegriffsrückgabe(gewählteSpracheZurückgeben(),"Auto row height")</f>
        <v>Automatische Zeilenhöhe</v>
      </c>
    </row>
    <row r="19" spans="2:18" x14ac:dyDescent="0.3">
      <c r="R19" s="89" t="str">
        <f>mehrsprachigkeitBegriffsrückgabe(gewählteSpracheZurückgeben(),"Create variants")</f>
        <v>Varianten erstellen!</v>
      </c>
    </row>
    <row r="20" spans="2:18" x14ac:dyDescent="0.3">
      <c r="R20" s="89" t="str">
        <f>mehrsprachigkeitBegriffsrückgabe(gewählteSpracheZurückgeben(),"Hide/show variants")</f>
        <v>Varianten ein-/ausblenden</v>
      </c>
    </row>
    <row r="22" spans="2:18" x14ac:dyDescent="0.3">
      <c r="R22" s="89" t="str">
        <f>mehrsprachigkeitBegriffsrückgabe(gewählteSpracheZurückgeben(),"Hide/show header")</f>
        <v>Kopfbereich ein-/ausblenden</v>
      </c>
    </row>
    <row r="23" spans="2:18" x14ac:dyDescent="0.3">
      <c r="R23" s="89" t="str">
        <f>mehrsprachigkeitBegriffsrückgabe(gewählteSpracheZurückgeben(),"Hide/show properties and values")</f>
        <v>Merkmale &amp; Ausprägungen ein-/ausblenden</v>
      </c>
    </row>
    <row r="24" spans="2:18" x14ac:dyDescent="0.3">
      <c r="R24" s="89" t="str">
        <f>mehrsprachigkeitBegriffsrückgabe(gewählteSpracheZurückgeben(),"Hide/show scale prices")</f>
        <v>Staffelpreise ein-/ausblenden</v>
      </c>
    </row>
    <row r="25" spans="2:18" x14ac:dyDescent="0.3">
      <c r="R25" s="89" t="str">
        <f>mehrsprachigkeitBegriffsrückgabe(gewählteSpracheZurückgeben(),"Hide/show member groups (0 to 5)")</f>
        <v>Mitgliedergruppen ein-/ausblenden (0 bis 5)</v>
      </c>
    </row>
    <row r="26" spans="2:18" x14ac:dyDescent="0.3">
      <c r="R26" s="89" t="str">
        <f>mehrsprachigkeitBegriffsrückgabe(gewählteSpracheZurückgeben(),"Hide/show FlexContent")</f>
        <v>FlexContent ein-/ausblenden</v>
      </c>
    </row>
    <row r="27" spans="2:18" x14ac:dyDescent="0.3">
      <c r="R27" s="89" t="str">
        <f>mehrsprachigkeitBegriffsrückgabe(gewählteSpracheZurückgeben(),"Select categories/member groups")</f>
        <v>Kategorien/Mitgliedergruppen auswählen</v>
      </c>
    </row>
    <row r="29" spans="2:18" x14ac:dyDescent="0.3">
      <c r="R29" s="89" t="str">
        <f>mehrsprachigkeitBegriffsrückgabe(gewählteSpracheZurückgeben(),"Create backup")</f>
        <v>Backup erstellen</v>
      </c>
    </row>
    <row r="30" spans="2:18" x14ac:dyDescent="0.3">
      <c r="R30" s="89" t="str">
        <f>mehrsprachigkeitBegriffsrückgabe(gewählteSpracheZurückgeben(),"Import/Update")</f>
        <v>Import/Update</v>
      </c>
    </row>
    <row r="32" spans="2:18" x14ac:dyDescent="0.3">
      <c r="B32" s="89" t="s">
        <v>538</v>
      </c>
      <c r="R32" s="89" t="str">
        <f>mehrsprachigkeitBegriffsrückgabe(gewählteSpracheZurückgeben(),"Info")</f>
        <v>Info</v>
      </c>
    </row>
  </sheetData>
  <sheetProtection algorithmName="SHA-512" hashValue="TyweAo1l8ukmtVb5dWalmeQFcmK9O1nEyxlI3PebGrNEdxYUXWjY3xfICbTyd4NksQpuhkPGC77WzgmWl69ong==" saltValue="7gvZebkPKVA70EKt7oxBMg==" spinCount="100000" sheet="1" formatCells="0" formatColumns="0" formatRows="0" insertHyperlinks="0" selectLockedCells="1" autoFilter="0"/>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91" r:id="rId3" name="Dropdown_Seitenwaehler03">
              <controlPr defaultSize="0" autoLine="0" autoPict="0" macro="[0]!seitenwähler">
                <anchor moveWithCells="1">
                  <from>
                    <xdr:col>0</xdr:col>
                    <xdr:colOff>2095500</xdr:colOff>
                    <xdr:row>3</xdr:row>
                    <xdr:rowOff>0</xdr:rowOff>
                  </from>
                  <to>
                    <xdr:col>1</xdr:col>
                    <xdr:colOff>1323975</xdr:colOff>
                    <xdr:row>4</xdr:row>
                    <xdr:rowOff>0</xdr:rowOff>
                  </to>
                </anchor>
              </controlPr>
            </control>
          </mc:Choice>
        </mc:AlternateContent>
        <mc:AlternateContent xmlns:mc="http://schemas.openxmlformats.org/markup-compatibility/2006">
          <mc:Choice Requires="x14">
            <control shapeId="3092" r:id="rId4" name="Dropdown_Sprachwaehler03">
              <controlPr defaultSize="0" autoLine="0" autoPict="0" macro="[0]!toDosNachSprachwechsel">
                <anchor moveWithCells="1">
                  <from>
                    <xdr:col>0</xdr:col>
                    <xdr:colOff>2095500</xdr:colOff>
                    <xdr:row>1</xdr:row>
                    <xdr:rowOff>485775</xdr:rowOff>
                  </from>
                  <to>
                    <xdr:col>1</xdr:col>
                    <xdr:colOff>1323975</xdr:colOff>
                    <xdr:row>2</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dimension ref="A1:FY251"/>
  <sheetViews>
    <sheetView workbookViewId="0">
      <pane ySplit="11" topLeftCell="A12" activePane="bottomLeft" state="frozenSplit"/>
      <selection pane="bottomLeft" activeCell="A12" sqref="A12"/>
    </sheetView>
  </sheetViews>
  <sheetFormatPr baseColWidth="10" defaultColWidth="11.42578125" defaultRowHeight="12.75" x14ac:dyDescent="0.2"/>
  <cols>
    <col min="1" max="1" width="12" style="45" customWidth="1"/>
    <col min="2" max="3" width="11.42578125" style="45" customWidth="1"/>
    <col min="4" max="4" width="19.42578125" style="45" customWidth="1"/>
    <col min="5" max="5" width="11.5703125" style="45" customWidth="1"/>
    <col min="6" max="6" width="12.5703125" style="45" customWidth="1"/>
    <col min="7" max="7" width="10" style="45" customWidth="1"/>
    <col min="8" max="8" width="19.5703125" style="45" customWidth="1"/>
    <col min="9" max="48" width="0" style="45" hidden="1" customWidth="1"/>
    <col min="49" max="49" width="69.5703125" style="45" customWidth="1"/>
    <col min="50" max="50" width="59.5703125" style="45" customWidth="1"/>
    <col min="51" max="51" width="27" style="45" customWidth="1"/>
    <col min="52" max="56" width="20.5703125" style="45" customWidth="1"/>
    <col min="57" max="57" width="8" style="45" bestFit="1" customWidth="1"/>
    <col min="58" max="58" width="6.42578125" style="45" bestFit="1" customWidth="1"/>
    <col min="59" max="59" width="20.42578125" style="45" bestFit="1" customWidth="1"/>
    <col min="60" max="60" width="11.42578125" style="45" bestFit="1" customWidth="1"/>
    <col min="61" max="61" width="17" style="45" bestFit="1" customWidth="1"/>
    <col min="62" max="62" width="19.5703125" style="45" customWidth="1"/>
    <col min="63" max="63" width="14" style="45" customWidth="1"/>
    <col min="64" max="64" width="9.5703125" style="45" customWidth="1"/>
    <col min="65" max="66" width="22.42578125" style="45" customWidth="1"/>
    <col min="67" max="67" width="35" style="45" customWidth="1"/>
    <col min="68" max="68" width="56" style="45" customWidth="1"/>
    <col min="69" max="69" width="12.42578125" style="45" customWidth="1"/>
    <col min="70" max="70" width="22.42578125" style="45" customWidth="1"/>
    <col min="71" max="71" width="11.42578125" style="45"/>
    <col min="72" max="72" width="16.42578125" style="45" customWidth="1"/>
    <col min="73" max="16384" width="11.42578125" style="45"/>
  </cols>
  <sheetData>
    <row r="1" spans="1:181" s="1" customFormat="1" ht="111" customHeight="1" x14ac:dyDescent="0.3"/>
    <row r="2" spans="1:181" s="1" customFormat="1" ht="37.5" customHeight="1" thickBot="1" x14ac:dyDescent="0.35">
      <c r="A2" s="6" t="str">
        <f>mehrsprachigkeitBegriffsrückgabe(gewählteSpracheZurückgeben(),"MERCONIS PRODUCT MANAGER: Deletion log")</f>
        <v>MERCONIS PRODUCT MANAGER: Löschprotokoll</v>
      </c>
    </row>
    <row r="3" spans="1:181" s="1" customFormat="1" ht="15.75" customHeight="1" thickBot="1" x14ac:dyDescent="0.35">
      <c r="A3" s="131" t="str">
        <f>mehrsprachigkeitBegriffsrückgabe(gewählteSpracheZurückgeben(),"Language")</f>
        <v>Sprache</v>
      </c>
      <c r="B3" s="40">
        <v>2</v>
      </c>
    </row>
    <row r="4" spans="1:181" s="5" customFormat="1" ht="15.75" customHeight="1" thickBot="1" x14ac:dyDescent="0.3">
      <c r="A4" s="131" t="str">
        <f>mehrsprachigkeitBegriffsrückgabe(gewählteSpracheZurückgeben(),"Go to page")</f>
        <v>Gehe zu Seite</v>
      </c>
      <c r="B4" s="40">
        <v>0</v>
      </c>
      <c r="BA4" s="13"/>
      <c r="BB4" s="11"/>
      <c r="BC4" s="13"/>
      <c r="BD4" s="11"/>
      <c r="BF4" s="15"/>
      <c r="BG4" s="11"/>
      <c r="BJ4" s="19"/>
      <c r="BK4" s="17"/>
    </row>
    <row r="5" spans="1:181" s="2" customFormat="1" ht="6" customHeight="1" x14ac:dyDescent="0.3"/>
    <row r="6" spans="1:181" s="43" customFormat="1" ht="16.5" hidden="1" x14ac:dyDescent="0.3">
      <c r="A6" s="44"/>
      <c r="B6" s="44">
        <v>1</v>
      </c>
      <c r="C6" s="44">
        <v>1</v>
      </c>
      <c r="D6" s="44"/>
      <c r="E6" s="44"/>
      <c r="F6" s="44"/>
      <c r="G6" s="44"/>
      <c r="H6" s="44"/>
      <c r="I6" s="44"/>
      <c r="J6" s="44"/>
      <c r="K6" s="44"/>
    </row>
    <row r="7" spans="1:181" s="43" customFormat="1" ht="16.5" hidden="1" x14ac:dyDescent="0.3">
      <c r="A7" s="44"/>
      <c r="B7" s="44"/>
      <c r="C7" s="44"/>
      <c r="D7" s="44"/>
      <c r="E7" s="44"/>
      <c r="F7" s="44"/>
      <c r="G7" s="44"/>
      <c r="H7" s="44"/>
      <c r="I7" s="44"/>
      <c r="J7" s="44"/>
      <c r="K7" s="44"/>
    </row>
    <row r="8" spans="1:181" s="43" customFormat="1" ht="16.5" hidden="1" x14ac:dyDescent="0.3">
      <c r="A8" s="44"/>
      <c r="B8" s="44"/>
      <c r="C8" s="44"/>
      <c r="D8" s="44"/>
      <c r="E8" s="44"/>
      <c r="F8" s="44"/>
      <c r="G8" s="44"/>
      <c r="H8" s="44"/>
      <c r="I8" s="44"/>
      <c r="J8" s="44"/>
      <c r="K8" s="44"/>
    </row>
    <row r="9" spans="1:181" s="43" customFormat="1" ht="16.5" hidden="1" x14ac:dyDescent="0.3">
      <c r="A9" s="44"/>
      <c r="B9" s="44"/>
      <c r="C9" s="44"/>
      <c r="D9" s="44"/>
      <c r="E9" s="44"/>
      <c r="F9" s="44"/>
      <c r="G9" s="44"/>
      <c r="H9" s="44"/>
      <c r="I9" s="44"/>
      <c r="J9" s="44"/>
      <c r="K9" s="44"/>
    </row>
    <row r="10" spans="1:181" hidden="1" x14ac:dyDescent="0.2"/>
    <row r="11" spans="1:181" hidden="1" x14ac:dyDescent="0.2">
      <c r="B11" s="45">
        <v>2</v>
      </c>
    </row>
    <row r="12" spans="1:181" s="153" customFormat="1" x14ac:dyDescent="0.2">
      <c r="A12" s="153" t="s">
        <v>522</v>
      </c>
    </row>
    <row r="13" spans="1:181" s="71" customFormat="1" ht="16.350000000000001" customHeight="1" x14ac:dyDescent="0.25">
      <c r="A13" s="109"/>
      <c r="B13" s="70"/>
      <c r="C13" s="110"/>
      <c r="D13" s="110">
        <v>1</v>
      </c>
      <c r="E13" s="146"/>
      <c r="F13" s="109" t="str">
        <f>mehrsprachigkeitBegriffsrückgabe(gewählteSpracheZurückgeben(), "Variant")</f>
        <v>Variante</v>
      </c>
      <c r="G13" s="111" t="s">
        <v>250</v>
      </c>
      <c r="H13" s="111"/>
      <c r="I13" s="111" t="s">
        <v>86</v>
      </c>
      <c r="J13" s="111" t="s">
        <v>507</v>
      </c>
      <c r="K13" s="111"/>
      <c r="L13" s="146"/>
      <c r="M13" s="149" t="s">
        <v>484</v>
      </c>
      <c r="N13" s="111" t="s">
        <v>485</v>
      </c>
      <c r="O13" s="114"/>
      <c r="P13" s="114"/>
      <c r="Q13" s="111"/>
      <c r="R13" s="111"/>
      <c r="S13" s="111"/>
      <c r="T13" s="111"/>
      <c r="U13" s="111"/>
      <c r="V13" s="111"/>
      <c r="W13" s="111"/>
      <c r="X13" s="111"/>
      <c r="Y13" s="111"/>
      <c r="Z13" s="111"/>
      <c r="AA13" s="111"/>
      <c r="AB13" s="111"/>
      <c r="AC13" s="111"/>
      <c r="AD13" s="111"/>
      <c r="AE13" s="111"/>
      <c r="AF13" s="111"/>
      <c r="AG13" s="111"/>
      <c r="AH13" s="111"/>
      <c r="AI13" s="111"/>
      <c r="AJ13" s="111"/>
      <c r="AK13" s="111"/>
      <c r="AL13" s="111"/>
      <c r="AM13" s="111"/>
      <c r="AN13" s="111"/>
      <c r="AO13" s="111"/>
      <c r="AP13" s="111"/>
      <c r="AQ13" s="111"/>
      <c r="AR13" s="111"/>
      <c r="AS13" s="111"/>
      <c r="AT13" s="111"/>
      <c r="AU13" s="111"/>
      <c r="AV13" s="111"/>
      <c r="AW13" s="111"/>
      <c r="AX13" s="111"/>
      <c r="AY13" s="111"/>
      <c r="AZ13" s="111"/>
      <c r="BA13" s="146"/>
      <c r="BB13" s="104"/>
      <c r="BC13" s="72"/>
      <c r="BD13" s="72"/>
      <c r="BE13" s="72"/>
      <c r="BF13" s="146"/>
      <c r="BG13" s="112">
        <v>16.68</v>
      </c>
      <c r="BH13" s="113" t="str">
        <f>mehrsprachigkeitBegriffsrückgabe(gewählteSpracheZurückgeben(), "Independent price")</f>
        <v>Eigenständiger Preis</v>
      </c>
      <c r="BI13" s="146"/>
      <c r="BJ13" s="105"/>
      <c r="BK13" s="113"/>
      <c r="BL13" s="113"/>
      <c r="BM13" s="105"/>
      <c r="BN13" s="113"/>
      <c r="BO13" s="152"/>
      <c r="BP13" s="146"/>
      <c r="BQ13" s="112"/>
      <c r="BR13" s="113"/>
      <c r="BS13" s="105"/>
      <c r="BT13" s="146"/>
      <c r="BU13" s="105"/>
      <c r="BV13" s="105"/>
      <c r="BW13" s="112"/>
      <c r="BX13" s="113"/>
      <c r="BY13" s="105"/>
      <c r="BZ13" s="113"/>
      <c r="CA13" s="113"/>
      <c r="CB13" s="105"/>
      <c r="CC13" s="113"/>
      <c r="CD13" s="152"/>
      <c r="CE13" s="112"/>
      <c r="CF13" s="113"/>
      <c r="CG13" s="105"/>
      <c r="CH13" s="146"/>
      <c r="CI13" s="105"/>
      <c r="CJ13" s="105"/>
      <c r="CK13" s="112"/>
      <c r="CL13" s="113"/>
      <c r="CM13" s="105"/>
      <c r="CN13" s="152"/>
      <c r="CO13" s="152"/>
      <c r="CP13" s="105"/>
      <c r="CQ13" s="113"/>
      <c r="CR13" s="152"/>
      <c r="CS13" s="112"/>
      <c r="CT13" s="113"/>
      <c r="CU13" s="105"/>
      <c r="CV13" s="146"/>
      <c r="CW13" s="105"/>
      <c r="CX13" s="105"/>
      <c r="CY13" s="112"/>
      <c r="CZ13" s="113"/>
      <c r="DA13" s="105"/>
      <c r="DB13" s="113"/>
      <c r="DC13" s="113"/>
      <c r="DD13" s="105"/>
      <c r="DE13" s="113"/>
      <c r="DF13" s="113"/>
      <c r="DG13" s="112"/>
      <c r="DH13" s="113"/>
      <c r="DI13" s="105"/>
      <c r="DJ13" s="146"/>
      <c r="DK13" s="105"/>
      <c r="DL13" s="105"/>
      <c r="DM13" s="112"/>
      <c r="DN13" s="113"/>
      <c r="DO13" s="105"/>
      <c r="DP13" s="113"/>
      <c r="DQ13" s="113"/>
      <c r="DR13" s="105"/>
      <c r="DS13" s="113"/>
      <c r="DT13" s="113"/>
      <c r="DU13" s="112"/>
      <c r="DV13" s="113"/>
      <c r="DW13" s="105"/>
      <c r="DX13" s="146"/>
      <c r="DY13" s="105"/>
      <c r="DZ13" s="105"/>
      <c r="EA13" s="112"/>
      <c r="EB13" s="113"/>
      <c r="EC13" s="105"/>
      <c r="ED13" s="113"/>
      <c r="EE13" s="113"/>
      <c r="EF13" s="105"/>
      <c r="EG13" s="113"/>
      <c r="EH13" s="113"/>
      <c r="EI13" s="112"/>
      <c r="EJ13" s="113"/>
      <c r="EK13" s="105"/>
      <c r="EL13" s="146"/>
      <c r="EM13" s="72"/>
      <c r="EN13" s="74"/>
      <c r="EO13" s="73"/>
      <c r="EP13" s="72"/>
      <c r="EQ13" s="72"/>
      <c r="ER13" s="75"/>
      <c r="ES13" s="76"/>
      <c r="ET13" s="77"/>
      <c r="EU13" s="77"/>
      <c r="EV13" s="78"/>
      <c r="EW13" s="72" t="s">
        <v>113</v>
      </c>
      <c r="EX13" s="72" t="s">
        <v>113</v>
      </c>
      <c r="EY13" s="72" t="s">
        <v>100</v>
      </c>
      <c r="EZ13" s="72" t="s">
        <v>114</v>
      </c>
      <c r="FA13" s="72"/>
      <c r="FB13" s="78"/>
      <c r="FC13" s="78"/>
      <c r="FD13" s="146"/>
      <c r="FE13" s="78"/>
      <c r="FF13" s="78"/>
      <c r="FG13" s="78"/>
      <c r="FH13" s="78"/>
      <c r="FI13" s="78"/>
      <c r="FJ13" s="78"/>
      <c r="FK13" s="78"/>
      <c r="FL13" s="78"/>
      <c r="FM13" s="78"/>
      <c r="FN13" s="78"/>
      <c r="FO13" s="146"/>
      <c r="FP13" s="78"/>
      <c r="FQ13" s="78"/>
      <c r="FR13" s="78"/>
      <c r="FS13" s="78"/>
      <c r="FT13" s="78"/>
      <c r="FU13" s="78"/>
      <c r="FV13" s="78"/>
      <c r="FW13" s="78"/>
      <c r="FX13" s="78"/>
      <c r="FY13" s="78"/>
    </row>
    <row r="16" spans="1:181" s="153" customFormat="1" x14ac:dyDescent="0.2">
      <c r="A16" s="153" t="s">
        <v>521</v>
      </c>
    </row>
    <row r="17" spans="1:174" s="71" customFormat="1" ht="16.350000000000001" customHeight="1" x14ac:dyDescent="0.25">
      <c r="B17" s="70"/>
      <c r="C17" s="70"/>
      <c r="D17" s="110"/>
      <c r="E17" s="146"/>
      <c r="F17" s="71" t="str">
        <f>mehrsprachigkeitBegriffsrückgabe(gewählteSpracheZurückgeben(), "Product (foreign language)")</f>
        <v>Produkt (Fremdsprache)</v>
      </c>
      <c r="G17" s="72"/>
      <c r="H17" s="72" t="s">
        <v>346</v>
      </c>
      <c r="I17" s="72" t="s">
        <v>94</v>
      </c>
      <c r="J17" s="72" t="s">
        <v>426</v>
      </c>
      <c r="K17" s="72"/>
      <c r="L17" s="146"/>
      <c r="M17" s="150"/>
      <c r="N17" s="72"/>
      <c r="O17" s="111"/>
      <c r="P17" s="111"/>
      <c r="Q17" s="72"/>
      <c r="R17" s="72"/>
      <c r="S17" s="72"/>
      <c r="T17" s="72"/>
      <c r="U17" s="72"/>
      <c r="V17" s="72"/>
      <c r="W17" s="72"/>
      <c r="X17" s="72"/>
      <c r="Y17" s="72"/>
      <c r="Z17" s="72"/>
      <c r="AA17" s="72"/>
      <c r="AB17" s="72"/>
      <c r="AC17" s="72"/>
      <c r="AD17" s="72"/>
      <c r="AE17" s="72"/>
      <c r="AF17" s="72"/>
      <c r="AG17" s="72"/>
      <c r="AH17" s="72"/>
      <c r="AI17" s="72"/>
      <c r="AJ17" s="72"/>
      <c r="AK17" s="72"/>
      <c r="AL17" s="72"/>
      <c r="AM17" s="72"/>
      <c r="AN17" s="72"/>
      <c r="AO17" s="72"/>
      <c r="AP17" s="72"/>
      <c r="AQ17" s="72"/>
      <c r="AR17" s="72"/>
      <c r="AS17" s="72"/>
      <c r="AT17" s="72"/>
      <c r="AU17" s="72"/>
      <c r="AV17" s="72"/>
      <c r="AW17" s="72"/>
      <c r="AX17" s="72"/>
      <c r="AY17" s="72"/>
      <c r="AZ17" s="72"/>
      <c r="BA17" s="146"/>
      <c r="BB17" s="104" t="s">
        <v>99</v>
      </c>
      <c r="BC17" s="72" t="s">
        <v>95</v>
      </c>
      <c r="BD17" s="72"/>
      <c r="BE17" s="72"/>
      <c r="BF17" s="146"/>
      <c r="BG17" s="83"/>
      <c r="BH17" s="73"/>
      <c r="BI17" s="146"/>
      <c r="BJ17" s="105"/>
      <c r="BK17" s="113"/>
      <c r="BL17" s="113"/>
      <c r="BM17" s="105"/>
      <c r="BN17" s="73"/>
      <c r="BO17" s="73"/>
      <c r="BP17" s="146"/>
      <c r="BQ17" s="83" t="s">
        <v>113</v>
      </c>
      <c r="BR17" s="73"/>
      <c r="BS17" s="105"/>
      <c r="BT17" s="146"/>
      <c r="BU17" s="105"/>
      <c r="BV17" s="105"/>
      <c r="BW17" s="83"/>
      <c r="BX17" s="73"/>
      <c r="BY17" s="105"/>
      <c r="BZ17" s="113"/>
      <c r="CA17" s="113"/>
      <c r="CB17" s="105"/>
      <c r="CC17" s="73"/>
      <c r="CD17" s="73"/>
      <c r="CE17" s="83"/>
      <c r="CF17" s="73"/>
      <c r="CG17" s="105"/>
      <c r="CH17" s="146"/>
      <c r="CI17" s="105"/>
      <c r="CJ17" s="105"/>
      <c r="CK17" s="83"/>
      <c r="CL17" s="73"/>
      <c r="CM17" s="105"/>
      <c r="CN17" s="113"/>
      <c r="CO17" s="113"/>
      <c r="CP17" s="105"/>
      <c r="CQ17" s="73"/>
      <c r="CR17" s="73"/>
      <c r="CS17" s="83"/>
      <c r="CT17" s="73"/>
      <c r="CU17" s="105"/>
      <c r="CV17" s="146"/>
      <c r="CW17" s="105"/>
      <c r="CX17" s="105"/>
      <c r="CY17" s="83"/>
      <c r="CZ17" s="73"/>
      <c r="DA17" s="105"/>
      <c r="DB17" s="113"/>
      <c r="DC17" s="113"/>
      <c r="DD17" s="105"/>
      <c r="DE17" s="73"/>
      <c r="DF17" s="73"/>
      <c r="DG17" s="83"/>
      <c r="DH17" s="73"/>
      <c r="DI17" s="105"/>
      <c r="DJ17" s="146"/>
      <c r="DK17" s="105"/>
      <c r="DL17" s="105"/>
      <c r="DM17" s="83"/>
      <c r="DN17" s="73"/>
      <c r="DO17" s="105"/>
      <c r="DP17" s="113"/>
      <c r="DQ17" s="113"/>
      <c r="DR17" s="105"/>
      <c r="DS17" s="73"/>
      <c r="DT17" s="73"/>
      <c r="DU17" s="83"/>
      <c r="DV17" s="73"/>
      <c r="DW17" s="105"/>
      <c r="DX17" s="146"/>
      <c r="DY17" s="105"/>
      <c r="DZ17" s="105"/>
      <c r="EA17" s="83"/>
      <c r="EB17" s="73"/>
      <c r="EC17" s="105"/>
      <c r="ED17" s="113"/>
      <c r="EE17" s="113"/>
      <c r="EF17" s="105"/>
      <c r="EG17" s="73"/>
      <c r="EH17" s="73"/>
      <c r="EI17" s="83"/>
      <c r="EJ17" s="73"/>
      <c r="EK17" s="105"/>
      <c r="EL17" s="146"/>
      <c r="EM17" s="72"/>
      <c r="EN17" s="106"/>
      <c r="EO17" s="107"/>
      <c r="EP17" s="72" t="s">
        <v>96</v>
      </c>
      <c r="EQ17" s="72"/>
      <c r="ER17" s="75"/>
      <c r="ES17" s="76"/>
      <c r="ET17" s="77"/>
      <c r="EU17" s="77"/>
      <c r="EV17" s="78" t="s">
        <v>135</v>
      </c>
      <c r="EW17" s="108"/>
      <c r="EX17" s="108"/>
      <c r="EY17" s="108"/>
      <c r="EZ17" s="108"/>
      <c r="FA17" s="72"/>
      <c r="FB17" s="78"/>
      <c r="FC17" s="78"/>
      <c r="FD17" s="146"/>
      <c r="FE17" s="78"/>
      <c r="FF17" s="78"/>
      <c r="FG17" s="78"/>
      <c r="FO17" s="146"/>
      <c r="FP17" s="78"/>
      <c r="FQ17" s="78"/>
      <c r="FR17" s="78"/>
    </row>
    <row r="20" spans="1:174" s="153" customFormat="1" x14ac:dyDescent="0.2">
      <c r="A20" s="153" t="s">
        <v>520</v>
      </c>
    </row>
    <row r="21" spans="1:174" s="71" customFormat="1" ht="16.350000000000001" customHeight="1" x14ac:dyDescent="0.25">
      <c r="A21" s="109"/>
      <c r="B21" s="70"/>
      <c r="C21" s="110"/>
      <c r="D21" s="110"/>
      <c r="E21" s="146"/>
      <c r="F21" s="109" t="str">
        <f>mehrsprachigkeitBegriffsrückgabe(gewählteSpracheZurückgeben(), "Product (foreign language)")</f>
        <v>Produkt (Fremdsprache)</v>
      </c>
      <c r="G21" s="111"/>
      <c r="H21" s="111" t="s">
        <v>249</v>
      </c>
      <c r="I21" s="111" t="s">
        <v>94</v>
      </c>
      <c r="J21" s="111" t="s">
        <v>427</v>
      </c>
      <c r="K21" s="111"/>
      <c r="L21" s="146"/>
      <c r="M21" s="149"/>
      <c r="N21" s="111"/>
      <c r="O21" s="111"/>
      <c r="P21" s="111"/>
      <c r="Q21" s="111"/>
      <c r="R21" s="111"/>
      <c r="S21" s="111"/>
      <c r="T21" s="111"/>
      <c r="U21" s="111"/>
      <c r="V21" s="111"/>
      <c r="W21" s="111"/>
      <c r="X21" s="111"/>
      <c r="Y21" s="111"/>
      <c r="Z21" s="111"/>
      <c r="AA21" s="111"/>
      <c r="AB21" s="111"/>
      <c r="AC21" s="111"/>
      <c r="AD21" s="111"/>
      <c r="AE21" s="111"/>
      <c r="AF21" s="111"/>
      <c r="AG21" s="111"/>
      <c r="AH21" s="111"/>
      <c r="AI21" s="111"/>
      <c r="AJ21" s="111"/>
      <c r="AK21" s="111"/>
      <c r="AL21" s="111"/>
      <c r="AM21" s="111"/>
      <c r="AN21" s="111"/>
      <c r="AO21" s="111"/>
      <c r="AP21" s="111"/>
      <c r="AQ21" s="111"/>
      <c r="AR21" s="111"/>
      <c r="AS21" s="111"/>
      <c r="AT21" s="111"/>
      <c r="AU21" s="111"/>
      <c r="AV21" s="111"/>
      <c r="AW21" s="111"/>
      <c r="AX21" s="111"/>
      <c r="AY21" s="111"/>
      <c r="AZ21" s="111"/>
      <c r="BA21" s="146"/>
      <c r="BB21" s="104" t="s">
        <v>99</v>
      </c>
      <c r="BC21" s="72" t="s">
        <v>95</v>
      </c>
      <c r="BD21" s="72"/>
      <c r="BE21" s="72"/>
      <c r="BF21" s="146"/>
      <c r="BG21" s="112"/>
      <c r="BH21" s="113"/>
      <c r="BI21" s="146"/>
      <c r="BJ21" s="105"/>
      <c r="BK21" s="113"/>
      <c r="BL21" s="113"/>
      <c r="BM21" s="105"/>
      <c r="BN21" s="113"/>
      <c r="BO21" s="113"/>
      <c r="BP21" s="146"/>
      <c r="BQ21" s="112" t="s">
        <v>113</v>
      </c>
      <c r="BR21" s="113"/>
      <c r="BS21" s="105"/>
      <c r="BT21" s="146"/>
      <c r="BU21" s="105"/>
      <c r="BV21" s="105"/>
      <c r="BW21" s="112"/>
      <c r="BX21" s="113"/>
      <c r="BY21" s="105"/>
      <c r="BZ21" s="113"/>
      <c r="CA21" s="113"/>
      <c r="CB21" s="105"/>
      <c r="CC21" s="113"/>
      <c r="CD21" s="113"/>
      <c r="CE21" s="112"/>
      <c r="CF21" s="113"/>
      <c r="CG21" s="105"/>
      <c r="CH21" s="146"/>
      <c r="CI21" s="105"/>
      <c r="CJ21" s="105"/>
      <c r="CK21" s="112"/>
      <c r="CL21" s="113"/>
      <c r="CM21" s="105"/>
      <c r="CN21" s="113"/>
      <c r="CO21" s="113"/>
      <c r="CP21" s="105"/>
      <c r="CQ21" s="113"/>
      <c r="CR21" s="113"/>
      <c r="CS21" s="112"/>
      <c r="CT21" s="113"/>
      <c r="CU21" s="105"/>
      <c r="CV21" s="146"/>
      <c r="CW21" s="105"/>
      <c r="CX21" s="105"/>
      <c r="CY21" s="112"/>
      <c r="CZ21" s="113"/>
      <c r="DA21" s="105"/>
      <c r="DB21" s="113"/>
      <c r="DC21" s="113"/>
      <c r="DD21" s="105"/>
      <c r="DE21" s="113"/>
      <c r="DF21" s="113"/>
      <c r="DG21" s="112"/>
      <c r="DH21" s="113"/>
      <c r="DI21" s="105"/>
      <c r="DJ21" s="146"/>
      <c r="DK21" s="105"/>
      <c r="DL21" s="105"/>
      <c r="DM21" s="112"/>
      <c r="DN21" s="113"/>
      <c r="DO21" s="105"/>
      <c r="DP21" s="113"/>
      <c r="DQ21" s="113"/>
      <c r="DR21" s="105"/>
      <c r="DS21" s="113"/>
      <c r="DT21" s="113"/>
      <c r="DU21" s="112"/>
      <c r="DV21" s="113"/>
      <c r="DW21" s="105"/>
      <c r="DX21" s="146"/>
      <c r="DY21" s="105"/>
      <c r="DZ21" s="105"/>
      <c r="EA21" s="112"/>
      <c r="EB21" s="113"/>
      <c r="EC21" s="105"/>
      <c r="ED21" s="113"/>
      <c r="EE21" s="113"/>
      <c r="EF21" s="105"/>
      <c r="EG21" s="113"/>
      <c r="EH21" s="113"/>
      <c r="EI21" s="112"/>
      <c r="EJ21" s="113"/>
      <c r="EK21" s="105"/>
      <c r="EL21" s="146"/>
      <c r="EM21" s="72"/>
      <c r="EN21" s="74"/>
      <c r="EO21" s="73"/>
      <c r="EP21" s="72" t="s">
        <v>96</v>
      </c>
      <c r="EQ21" s="72"/>
      <c r="ER21" s="75"/>
      <c r="ES21" s="76"/>
      <c r="ET21" s="77"/>
      <c r="EU21" s="77"/>
      <c r="EV21" s="78"/>
      <c r="EW21" s="72"/>
      <c r="EX21" s="72"/>
      <c r="EY21" s="72"/>
      <c r="EZ21" s="72"/>
      <c r="FA21" s="72"/>
      <c r="FB21" s="78"/>
      <c r="FC21" s="78"/>
      <c r="FD21" s="146"/>
      <c r="FE21" s="78"/>
      <c r="FF21" s="78"/>
      <c r="FG21" s="78"/>
      <c r="FO21" s="146"/>
      <c r="FP21" s="78"/>
      <c r="FQ21" s="78"/>
      <c r="FR21" s="78"/>
    </row>
    <row r="24" spans="1:174" s="153" customFormat="1" x14ac:dyDescent="0.2">
      <c r="A24" s="153" t="s">
        <v>519</v>
      </c>
    </row>
    <row r="25" spans="1:174" s="71" customFormat="1" ht="16.350000000000001" customHeight="1" x14ac:dyDescent="0.25">
      <c r="A25" s="109"/>
      <c r="B25" s="70"/>
      <c r="C25" s="110"/>
      <c r="D25" s="110"/>
      <c r="E25" s="146"/>
      <c r="F25" s="109" t="str">
        <f>mehrsprachigkeitBegriffsrückgabe(gewählteSpracheZurückgeben(), "Product (foreign language)")</f>
        <v>Produkt (Fremdsprache)</v>
      </c>
      <c r="G25" s="111"/>
      <c r="H25" s="111" t="s">
        <v>220</v>
      </c>
      <c r="I25" s="111" t="s">
        <v>94</v>
      </c>
      <c r="J25" s="111" t="s">
        <v>428</v>
      </c>
      <c r="K25" s="111"/>
      <c r="L25" s="146"/>
      <c r="M25" s="149"/>
      <c r="N25" s="111"/>
      <c r="O25" s="111"/>
      <c r="P25" s="111"/>
      <c r="Q25" s="111"/>
      <c r="R25" s="111"/>
      <c r="S25" s="111"/>
      <c r="T25" s="111"/>
      <c r="U25" s="111"/>
      <c r="V25" s="111"/>
      <c r="W25" s="111"/>
      <c r="X25" s="111"/>
      <c r="Y25" s="111"/>
      <c r="Z25" s="111"/>
      <c r="AA25" s="111"/>
      <c r="AB25" s="111"/>
      <c r="AC25" s="111"/>
      <c r="AD25" s="111"/>
      <c r="AE25" s="111"/>
      <c r="AF25" s="111"/>
      <c r="AG25" s="111"/>
      <c r="AH25" s="111"/>
      <c r="AI25" s="111"/>
      <c r="AJ25" s="111"/>
      <c r="AK25" s="111"/>
      <c r="AL25" s="111"/>
      <c r="AM25" s="111"/>
      <c r="AN25" s="111"/>
      <c r="AO25" s="111"/>
      <c r="AP25" s="111"/>
      <c r="AQ25" s="111"/>
      <c r="AR25" s="111"/>
      <c r="AS25" s="111"/>
      <c r="AT25" s="111"/>
      <c r="AU25" s="111"/>
      <c r="AV25" s="111"/>
      <c r="AW25" s="111"/>
      <c r="AX25" s="111"/>
      <c r="AY25" s="111"/>
      <c r="AZ25" s="111"/>
      <c r="BA25" s="146"/>
      <c r="BB25" s="104" t="s">
        <v>99</v>
      </c>
      <c r="BC25" s="72" t="s">
        <v>95</v>
      </c>
      <c r="BD25" s="72"/>
      <c r="BE25" s="72"/>
      <c r="BF25" s="146"/>
      <c r="BG25" s="112"/>
      <c r="BH25" s="113"/>
      <c r="BI25" s="146"/>
      <c r="BJ25" s="105"/>
      <c r="BK25" s="113"/>
      <c r="BL25" s="113"/>
      <c r="BM25" s="105"/>
      <c r="BN25" s="113"/>
      <c r="BO25" s="113"/>
      <c r="BP25" s="146"/>
      <c r="BQ25" s="112" t="s">
        <v>113</v>
      </c>
      <c r="BR25" s="113"/>
      <c r="BS25" s="105"/>
      <c r="BT25" s="146"/>
      <c r="BU25" s="105"/>
      <c r="BV25" s="105"/>
      <c r="BW25" s="112"/>
      <c r="BX25" s="113"/>
      <c r="BY25" s="105"/>
      <c r="BZ25" s="113"/>
      <c r="CA25" s="113"/>
      <c r="CB25" s="105"/>
      <c r="CC25" s="113"/>
      <c r="CD25" s="113"/>
      <c r="CE25" s="112"/>
      <c r="CF25" s="113"/>
      <c r="CG25" s="105"/>
      <c r="CH25" s="146"/>
      <c r="CI25" s="105"/>
      <c r="CJ25" s="105"/>
      <c r="CK25" s="112"/>
      <c r="CL25" s="113"/>
      <c r="CM25" s="105"/>
      <c r="CN25" s="113"/>
      <c r="CO25" s="113"/>
      <c r="CP25" s="105"/>
      <c r="CQ25" s="113"/>
      <c r="CR25" s="113"/>
      <c r="CS25" s="112"/>
      <c r="CT25" s="113"/>
      <c r="CU25" s="105"/>
      <c r="CV25" s="146"/>
      <c r="CW25" s="105"/>
      <c r="CX25" s="105"/>
      <c r="CY25" s="112"/>
      <c r="CZ25" s="113"/>
      <c r="DA25" s="105"/>
      <c r="DB25" s="113"/>
      <c r="DC25" s="113"/>
      <c r="DD25" s="105"/>
      <c r="DE25" s="113"/>
      <c r="DF25" s="113"/>
      <c r="DG25" s="112"/>
      <c r="DH25" s="113"/>
      <c r="DI25" s="105"/>
      <c r="DJ25" s="146"/>
      <c r="DK25" s="105"/>
      <c r="DL25" s="105"/>
      <c r="DM25" s="112"/>
      <c r="DN25" s="113"/>
      <c r="DO25" s="105"/>
      <c r="DP25" s="113"/>
      <c r="DQ25" s="113"/>
      <c r="DR25" s="105"/>
      <c r="DS25" s="113"/>
      <c r="DT25" s="113"/>
      <c r="DU25" s="112"/>
      <c r="DV25" s="113"/>
      <c r="DW25" s="105"/>
      <c r="DX25" s="146"/>
      <c r="DY25" s="105"/>
      <c r="DZ25" s="105"/>
      <c r="EA25" s="112"/>
      <c r="EB25" s="113"/>
      <c r="EC25" s="105"/>
      <c r="ED25" s="113"/>
      <c r="EE25" s="113"/>
      <c r="EF25" s="105"/>
      <c r="EG25" s="113"/>
      <c r="EH25" s="113"/>
      <c r="EI25" s="112"/>
      <c r="EJ25" s="113"/>
      <c r="EK25" s="105"/>
      <c r="EL25" s="146"/>
      <c r="EM25" s="72"/>
      <c r="EN25" s="74"/>
      <c r="EO25" s="73"/>
      <c r="EP25" s="72" t="s">
        <v>96</v>
      </c>
      <c r="EQ25" s="72"/>
      <c r="ER25" s="75"/>
      <c r="ES25" s="76"/>
      <c r="ET25" s="77"/>
      <c r="EU25" s="77"/>
      <c r="EV25" s="78"/>
      <c r="EW25" s="72"/>
      <c r="EX25" s="72"/>
      <c r="EY25" s="72"/>
      <c r="EZ25" s="72"/>
      <c r="FA25" s="72"/>
      <c r="FB25" s="78"/>
      <c r="FC25" s="78"/>
      <c r="FD25" s="146"/>
      <c r="FE25" s="78"/>
      <c r="FF25" s="78"/>
      <c r="FG25" s="78"/>
      <c r="FO25" s="146"/>
      <c r="FP25" s="78"/>
      <c r="FQ25" s="78"/>
      <c r="FR25" s="78"/>
    </row>
    <row r="28" spans="1:174" s="153" customFormat="1" x14ac:dyDescent="0.2">
      <c r="A28" s="153" t="s">
        <v>518</v>
      </c>
    </row>
    <row r="29" spans="1:174" s="71" customFormat="1" ht="16.350000000000001" customHeight="1" x14ac:dyDescent="0.25">
      <c r="A29" s="109"/>
      <c r="B29" s="70"/>
      <c r="C29" s="110"/>
      <c r="D29" s="110"/>
      <c r="E29" s="146"/>
      <c r="F29" s="109" t="str">
        <f>mehrsprachigkeitBegriffsrückgabe(gewählteSpracheZurückgeben(), "Product (foreign language)")</f>
        <v>Produkt (Fremdsprache)</v>
      </c>
      <c r="G29" s="111"/>
      <c r="H29" s="111" t="s">
        <v>221</v>
      </c>
      <c r="I29" s="111" t="s">
        <v>94</v>
      </c>
      <c r="J29" s="111" t="s">
        <v>429</v>
      </c>
      <c r="K29" s="111"/>
      <c r="L29" s="146"/>
      <c r="M29" s="149"/>
      <c r="N29" s="111"/>
      <c r="O29" s="111"/>
      <c r="P29" s="111"/>
      <c r="Q29" s="111"/>
      <c r="R29" s="111"/>
      <c r="S29" s="111"/>
      <c r="T29" s="111"/>
      <c r="U29" s="111"/>
      <c r="V29" s="111"/>
      <c r="W29" s="111"/>
      <c r="X29" s="111"/>
      <c r="Y29" s="111"/>
      <c r="Z29" s="111"/>
      <c r="AA29" s="111"/>
      <c r="AB29" s="111"/>
      <c r="AC29" s="111"/>
      <c r="AD29" s="111"/>
      <c r="AE29" s="111"/>
      <c r="AF29" s="111"/>
      <c r="AG29" s="111"/>
      <c r="AH29" s="111"/>
      <c r="AI29" s="111"/>
      <c r="AJ29" s="111"/>
      <c r="AK29" s="111"/>
      <c r="AL29" s="111"/>
      <c r="AM29" s="111"/>
      <c r="AN29" s="111"/>
      <c r="AO29" s="111"/>
      <c r="AP29" s="111"/>
      <c r="AQ29" s="111"/>
      <c r="AR29" s="111"/>
      <c r="AS29" s="111"/>
      <c r="AT29" s="111"/>
      <c r="AU29" s="111"/>
      <c r="AV29" s="111"/>
      <c r="AW29" s="111"/>
      <c r="AX29" s="111"/>
      <c r="AY29" s="111"/>
      <c r="AZ29" s="111"/>
      <c r="BA29" s="146"/>
      <c r="BB29" s="104" t="s">
        <v>99</v>
      </c>
      <c r="BC29" s="72" t="s">
        <v>95</v>
      </c>
      <c r="BD29" s="72"/>
      <c r="BE29" s="72"/>
      <c r="BF29" s="146"/>
      <c r="BG29" s="112"/>
      <c r="BH29" s="113"/>
      <c r="BI29" s="146"/>
      <c r="BJ29" s="105"/>
      <c r="BK29" s="113"/>
      <c r="BL29" s="113"/>
      <c r="BM29" s="105"/>
      <c r="BN29" s="113"/>
      <c r="BO29" s="113"/>
      <c r="BP29" s="146"/>
      <c r="BQ29" s="112" t="s">
        <v>113</v>
      </c>
      <c r="BR29" s="113"/>
      <c r="BS29" s="105"/>
      <c r="BT29" s="146"/>
      <c r="BU29" s="105"/>
      <c r="BV29" s="105"/>
      <c r="BW29" s="112"/>
      <c r="BX29" s="113"/>
      <c r="BY29" s="105"/>
      <c r="BZ29" s="113"/>
      <c r="CA29" s="113"/>
      <c r="CB29" s="105"/>
      <c r="CC29" s="113"/>
      <c r="CD29" s="113"/>
      <c r="CE29" s="112"/>
      <c r="CF29" s="113"/>
      <c r="CG29" s="105"/>
      <c r="CH29" s="146"/>
      <c r="CI29" s="105"/>
      <c r="CJ29" s="105"/>
      <c r="CK29" s="112"/>
      <c r="CL29" s="113"/>
      <c r="CM29" s="105"/>
      <c r="CN29" s="113"/>
      <c r="CO29" s="113"/>
      <c r="CP29" s="105"/>
      <c r="CQ29" s="113"/>
      <c r="CR29" s="113"/>
      <c r="CS29" s="112"/>
      <c r="CT29" s="113"/>
      <c r="CU29" s="105"/>
      <c r="CV29" s="146"/>
      <c r="CW29" s="105"/>
      <c r="CX29" s="105"/>
      <c r="CY29" s="112"/>
      <c r="CZ29" s="113"/>
      <c r="DA29" s="105"/>
      <c r="DB29" s="113"/>
      <c r="DC29" s="113"/>
      <c r="DD29" s="105"/>
      <c r="DE29" s="113"/>
      <c r="DF29" s="113"/>
      <c r="DG29" s="112"/>
      <c r="DH29" s="113"/>
      <c r="DI29" s="105"/>
      <c r="DJ29" s="146"/>
      <c r="DK29" s="105"/>
      <c r="DL29" s="105"/>
      <c r="DM29" s="112"/>
      <c r="DN29" s="113"/>
      <c r="DO29" s="105"/>
      <c r="DP29" s="113"/>
      <c r="DQ29" s="113"/>
      <c r="DR29" s="105"/>
      <c r="DS29" s="113"/>
      <c r="DT29" s="113"/>
      <c r="DU29" s="112"/>
      <c r="DV29" s="113"/>
      <c r="DW29" s="105"/>
      <c r="DX29" s="146"/>
      <c r="DY29" s="105"/>
      <c r="DZ29" s="105"/>
      <c r="EA29" s="112"/>
      <c r="EB29" s="113"/>
      <c r="EC29" s="105"/>
      <c r="ED29" s="113"/>
      <c r="EE29" s="113"/>
      <c r="EF29" s="105"/>
      <c r="EG29" s="113"/>
      <c r="EH29" s="113"/>
      <c r="EI29" s="112"/>
      <c r="EJ29" s="113"/>
      <c r="EK29" s="105"/>
      <c r="EL29" s="146"/>
      <c r="EM29" s="72"/>
      <c r="EN29" s="74"/>
      <c r="EO29" s="73"/>
      <c r="EP29" s="72" t="s">
        <v>96</v>
      </c>
      <c r="EQ29" s="72"/>
      <c r="ER29" s="75"/>
      <c r="ES29" s="76"/>
      <c r="ET29" s="77"/>
      <c r="EU29" s="77"/>
      <c r="EV29" s="78"/>
      <c r="EW29" s="72"/>
      <c r="EX29" s="72"/>
      <c r="EY29" s="72"/>
      <c r="EZ29" s="72"/>
      <c r="FA29" s="72"/>
      <c r="FB29" s="78"/>
      <c r="FC29" s="78"/>
      <c r="FD29" s="146"/>
      <c r="FE29" s="78"/>
      <c r="FF29" s="78"/>
      <c r="FG29" s="78"/>
      <c r="FO29" s="146"/>
      <c r="FP29" s="78"/>
      <c r="FQ29" s="78"/>
      <c r="FR29" s="78"/>
    </row>
    <row r="32" spans="1:174" s="153" customFormat="1" x14ac:dyDescent="0.2">
      <c r="A32" s="153" t="s">
        <v>517</v>
      </c>
    </row>
    <row r="33" spans="1:181" s="71" customFormat="1" ht="16.350000000000001" customHeight="1" x14ac:dyDescent="0.25">
      <c r="A33" s="109"/>
      <c r="B33" s="70"/>
      <c r="C33" s="110"/>
      <c r="D33" s="110"/>
      <c r="E33" s="146"/>
      <c r="F33" s="109" t="str">
        <f>mehrsprachigkeitBegriffsrückgabe(gewählteSpracheZurückgeben(), "Product (foreign language)")</f>
        <v>Produkt (Fremdsprache)</v>
      </c>
      <c r="G33" s="111"/>
      <c r="H33" s="111" t="s">
        <v>222</v>
      </c>
      <c r="I33" s="111" t="s">
        <v>94</v>
      </c>
      <c r="J33" s="111" t="s">
        <v>430</v>
      </c>
      <c r="K33" s="111"/>
      <c r="L33" s="146"/>
      <c r="M33" s="149"/>
      <c r="N33" s="111"/>
      <c r="O33" s="111"/>
      <c r="P33" s="111"/>
      <c r="Q33" s="111"/>
      <c r="R33" s="111"/>
      <c r="S33" s="111"/>
      <c r="T33" s="111"/>
      <c r="U33" s="111"/>
      <c r="V33" s="111"/>
      <c r="W33" s="111"/>
      <c r="X33" s="111"/>
      <c r="Y33" s="111"/>
      <c r="Z33" s="111"/>
      <c r="AA33" s="111"/>
      <c r="AB33" s="111"/>
      <c r="AC33" s="111"/>
      <c r="AD33" s="111"/>
      <c r="AE33" s="111"/>
      <c r="AF33" s="111"/>
      <c r="AG33" s="111"/>
      <c r="AH33" s="111"/>
      <c r="AI33" s="111"/>
      <c r="AJ33" s="111"/>
      <c r="AK33" s="111"/>
      <c r="AL33" s="111"/>
      <c r="AM33" s="111"/>
      <c r="AN33" s="111"/>
      <c r="AO33" s="111"/>
      <c r="AP33" s="111"/>
      <c r="AQ33" s="111"/>
      <c r="AR33" s="111"/>
      <c r="AS33" s="111"/>
      <c r="AT33" s="111"/>
      <c r="AU33" s="111"/>
      <c r="AV33" s="111"/>
      <c r="AW33" s="111"/>
      <c r="AX33" s="111"/>
      <c r="AY33" s="111"/>
      <c r="AZ33" s="111"/>
      <c r="BA33" s="146"/>
      <c r="BB33" s="104" t="s">
        <v>99</v>
      </c>
      <c r="BC33" s="72" t="s">
        <v>95</v>
      </c>
      <c r="BD33" s="72"/>
      <c r="BE33" s="72"/>
      <c r="BF33" s="146"/>
      <c r="BG33" s="112"/>
      <c r="BH33" s="113"/>
      <c r="BI33" s="146"/>
      <c r="BJ33" s="105"/>
      <c r="BK33" s="113"/>
      <c r="BL33" s="113"/>
      <c r="BM33" s="105"/>
      <c r="BN33" s="113"/>
      <c r="BO33" s="113"/>
      <c r="BP33" s="146"/>
      <c r="BQ33" s="112" t="s">
        <v>113</v>
      </c>
      <c r="BR33" s="113"/>
      <c r="BS33" s="105"/>
      <c r="BT33" s="146"/>
      <c r="BU33" s="105"/>
      <c r="BV33" s="105"/>
      <c r="BW33" s="112"/>
      <c r="BX33" s="113"/>
      <c r="BY33" s="105"/>
      <c r="BZ33" s="113"/>
      <c r="CA33" s="113"/>
      <c r="CB33" s="105"/>
      <c r="CC33" s="113"/>
      <c r="CD33" s="113"/>
      <c r="CE33" s="112"/>
      <c r="CF33" s="113"/>
      <c r="CG33" s="105"/>
      <c r="CH33" s="146"/>
      <c r="CI33" s="105"/>
      <c r="CJ33" s="105"/>
      <c r="CK33" s="112"/>
      <c r="CL33" s="113"/>
      <c r="CM33" s="105"/>
      <c r="CN33" s="113"/>
      <c r="CO33" s="113"/>
      <c r="CP33" s="105"/>
      <c r="CQ33" s="113"/>
      <c r="CR33" s="113"/>
      <c r="CS33" s="112"/>
      <c r="CT33" s="113"/>
      <c r="CU33" s="105"/>
      <c r="CV33" s="146"/>
      <c r="CW33" s="105"/>
      <c r="CX33" s="105"/>
      <c r="CY33" s="112"/>
      <c r="CZ33" s="113"/>
      <c r="DA33" s="105"/>
      <c r="DB33" s="113"/>
      <c r="DC33" s="113"/>
      <c r="DD33" s="105"/>
      <c r="DE33" s="113"/>
      <c r="DF33" s="113"/>
      <c r="DG33" s="112"/>
      <c r="DH33" s="113"/>
      <c r="DI33" s="105"/>
      <c r="DJ33" s="146"/>
      <c r="DK33" s="105"/>
      <c r="DL33" s="105"/>
      <c r="DM33" s="112"/>
      <c r="DN33" s="113"/>
      <c r="DO33" s="105"/>
      <c r="DP33" s="113"/>
      <c r="DQ33" s="113"/>
      <c r="DR33" s="105"/>
      <c r="DS33" s="113"/>
      <c r="DT33" s="113"/>
      <c r="DU33" s="112"/>
      <c r="DV33" s="113"/>
      <c r="DW33" s="105"/>
      <c r="DX33" s="146"/>
      <c r="DY33" s="105"/>
      <c r="DZ33" s="105"/>
      <c r="EA33" s="112"/>
      <c r="EB33" s="113"/>
      <c r="EC33" s="105"/>
      <c r="ED33" s="113"/>
      <c r="EE33" s="113"/>
      <c r="EF33" s="105"/>
      <c r="EG33" s="113"/>
      <c r="EH33" s="113"/>
      <c r="EI33" s="112"/>
      <c r="EJ33" s="113"/>
      <c r="EK33" s="105"/>
      <c r="EL33" s="146"/>
      <c r="EM33" s="72"/>
      <c r="EN33" s="74"/>
      <c r="EO33" s="73"/>
      <c r="EP33" s="72" t="s">
        <v>96</v>
      </c>
      <c r="EQ33" s="72"/>
      <c r="ER33" s="75"/>
      <c r="ES33" s="76"/>
      <c r="ET33" s="77"/>
      <c r="EU33" s="77"/>
      <c r="EV33" s="78"/>
      <c r="EW33" s="72"/>
      <c r="EX33" s="72"/>
      <c r="EY33" s="72"/>
      <c r="EZ33" s="72"/>
      <c r="FA33" s="72"/>
      <c r="FB33" s="78"/>
      <c r="FC33" s="78"/>
      <c r="FD33" s="146"/>
      <c r="FE33" s="78"/>
      <c r="FF33" s="78"/>
      <c r="FG33" s="78"/>
      <c r="FO33" s="146"/>
      <c r="FP33" s="78"/>
      <c r="FQ33" s="78"/>
      <c r="FR33" s="78"/>
    </row>
    <row r="36" spans="1:181" s="153" customFormat="1" x14ac:dyDescent="0.2">
      <c r="A36" s="153" t="s">
        <v>516</v>
      </c>
    </row>
    <row r="37" spans="1:181" s="71" customFormat="1" ht="16.350000000000001" customHeight="1" x14ac:dyDescent="0.25">
      <c r="A37" s="109"/>
      <c r="B37" s="70"/>
      <c r="C37" s="110"/>
      <c r="D37" s="110"/>
      <c r="E37" s="146"/>
      <c r="F37" s="109" t="str">
        <f>mehrsprachigkeitBegriffsrückgabe(gewählteSpracheZurückgeben(), "Product (foreign language)")</f>
        <v>Produkt (Fremdsprache)</v>
      </c>
      <c r="G37" s="111"/>
      <c r="H37" s="111" t="s">
        <v>223</v>
      </c>
      <c r="I37" s="111" t="s">
        <v>94</v>
      </c>
      <c r="J37" s="111" t="s">
        <v>431</v>
      </c>
      <c r="K37" s="111"/>
      <c r="L37" s="146"/>
      <c r="M37" s="149"/>
      <c r="N37" s="111"/>
      <c r="O37" s="111"/>
      <c r="P37" s="111"/>
      <c r="Q37" s="111"/>
      <c r="R37" s="111"/>
      <c r="S37" s="111"/>
      <c r="T37" s="111"/>
      <c r="U37" s="111"/>
      <c r="V37" s="111"/>
      <c r="W37" s="111"/>
      <c r="X37" s="111"/>
      <c r="Y37" s="111"/>
      <c r="Z37" s="111"/>
      <c r="AA37" s="111"/>
      <c r="AB37" s="111"/>
      <c r="AC37" s="111"/>
      <c r="AD37" s="111"/>
      <c r="AE37" s="111"/>
      <c r="AF37" s="111"/>
      <c r="AG37" s="111"/>
      <c r="AH37" s="111"/>
      <c r="AI37" s="111"/>
      <c r="AJ37" s="111"/>
      <c r="AK37" s="111"/>
      <c r="AL37" s="111"/>
      <c r="AM37" s="111"/>
      <c r="AN37" s="111"/>
      <c r="AO37" s="111"/>
      <c r="AP37" s="111"/>
      <c r="AQ37" s="111"/>
      <c r="AR37" s="111"/>
      <c r="AS37" s="111"/>
      <c r="AT37" s="111"/>
      <c r="AU37" s="111"/>
      <c r="AV37" s="111"/>
      <c r="AW37" s="111"/>
      <c r="AX37" s="111"/>
      <c r="AY37" s="111"/>
      <c r="AZ37" s="111"/>
      <c r="BA37" s="146"/>
      <c r="BB37" s="104" t="s">
        <v>99</v>
      </c>
      <c r="BC37" s="72" t="s">
        <v>95</v>
      </c>
      <c r="BD37" s="72"/>
      <c r="BE37" s="72"/>
      <c r="BF37" s="146"/>
      <c r="BG37" s="112"/>
      <c r="BH37" s="113"/>
      <c r="BI37" s="146"/>
      <c r="BJ37" s="105"/>
      <c r="BK37" s="113"/>
      <c r="BL37" s="113"/>
      <c r="BM37" s="105"/>
      <c r="BN37" s="113"/>
      <c r="BO37" s="113"/>
      <c r="BP37" s="146"/>
      <c r="BQ37" s="112" t="s">
        <v>113</v>
      </c>
      <c r="BR37" s="113"/>
      <c r="BS37" s="105"/>
      <c r="BT37" s="146"/>
      <c r="BU37" s="105"/>
      <c r="BV37" s="105"/>
      <c r="BW37" s="112"/>
      <c r="BX37" s="113"/>
      <c r="BY37" s="105"/>
      <c r="BZ37" s="113"/>
      <c r="CA37" s="113"/>
      <c r="CB37" s="105"/>
      <c r="CC37" s="113"/>
      <c r="CD37" s="113"/>
      <c r="CE37" s="112"/>
      <c r="CF37" s="113"/>
      <c r="CG37" s="105"/>
      <c r="CH37" s="146"/>
      <c r="CI37" s="105"/>
      <c r="CJ37" s="105"/>
      <c r="CK37" s="112"/>
      <c r="CL37" s="113"/>
      <c r="CM37" s="105"/>
      <c r="CN37" s="113"/>
      <c r="CO37" s="113"/>
      <c r="CP37" s="105"/>
      <c r="CQ37" s="113"/>
      <c r="CR37" s="113"/>
      <c r="CS37" s="112"/>
      <c r="CT37" s="113"/>
      <c r="CU37" s="105"/>
      <c r="CV37" s="146"/>
      <c r="CW37" s="105"/>
      <c r="CX37" s="105"/>
      <c r="CY37" s="112"/>
      <c r="CZ37" s="113"/>
      <c r="DA37" s="105"/>
      <c r="DB37" s="113"/>
      <c r="DC37" s="113"/>
      <c r="DD37" s="105"/>
      <c r="DE37" s="113"/>
      <c r="DF37" s="113"/>
      <c r="DG37" s="112"/>
      <c r="DH37" s="113"/>
      <c r="DI37" s="105"/>
      <c r="DJ37" s="146"/>
      <c r="DK37" s="105"/>
      <c r="DL37" s="105"/>
      <c r="DM37" s="112"/>
      <c r="DN37" s="113"/>
      <c r="DO37" s="105"/>
      <c r="DP37" s="113"/>
      <c r="DQ37" s="113"/>
      <c r="DR37" s="105"/>
      <c r="DS37" s="113"/>
      <c r="DT37" s="113"/>
      <c r="DU37" s="112"/>
      <c r="DV37" s="113"/>
      <c r="DW37" s="105"/>
      <c r="DX37" s="146"/>
      <c r="DY37" s="105"/>
      <c r="DZ37" s="105"/>
      <c r="EA37" s="112"/>
      <c r="EB37" s="113"/>
      <c r="EC37" s="105"/>
      <c r="ED37" s="113"/>
      <c r="EE37" s="113"/>
      <c r="EF37" s="105"/>
      <c r="EG37" s="113"/>
      <c r="EH37" s="113"/>
      <c r="EI37" s="112"/>
      <c r="EJ37" s="113"/>
      <c r="EK37" s="105"/>
      <c r="EL37" s="146"/>
      <c r="EM37" s="72"/>
      <c r="EN37" s="74"/>
      <c r="EO37" s="73"/>
      <c r="EP37" s="72" t="s">
        <v>96</v>
      </c>
      <c r="EQ37" s="72"/>
      <c r="ER37" s="75"/>
      <c r="ES37" s="76"/>
      <c r="ET37" s="77"/>
      <c r="EU37" s="77"/>
      <c r="EV37" s="78"/>
      <c r="EW37" s="72"/>
      <c r="EX37" s="72"/>
      <c r="EY37" s="72"/>
      <c r="EZ37" s="72"/>
      <c r="FA37" s="72"/>
      <c r="FB37" s="78"/>
      <c r="FC37" s="78"/>
      <c r="FD37" s="146"/>
      <c r="FE37" s="78"/>
      <c r="FF37" s="78"/>
      <c r="FG37" s="78"/>
      <c r="FO37" s="146"/>
      <c r="FP37" s="78"/>
      <c r="FQ37" s="78"/>
      <c r="FR37" s="78"/>
    </row>
    <row r="40" spans="1:181" s="153" customFormat="1" x14ac:dyDescent="0.2">
      <c r="A40" s="153" t="s">
        <v>515</v>
      </c>
    </row>
    <row r="43" spans="1:181" s="153" customFormat="1" x14ac:dyDescent="0.2">
      <c r="A43" s="153" t="s">
        <v>514</v>
      </c>
    </row>
    <row r="44" spans="1:181" s="71" customFormat="1" ht="16.350000000000001" customHeight="1" x14ac:dyDescent="0.25">
      <c r="A44" s="109"/>
      <c r="B44" s="70"/>
      <c r="C44" s="110"/>
      <c r="D44" s="110">
        <v>1</v>
      </c>
      <c r="E44" s="146"/>
      <c r="F44" s="109" t="str">
        <f>mehrsprachigkeitBegriffsrückgabe(gewählteSpracheZurückgeben(), "Product")</f>
        <v>Produkt</v>
      </c>
      <c r="G44" s="111" t="s">
        <v>224</v>
      </c>
      <c r="H44" s="111"/>
      <c r="I44" s="111" t="s">
        <v>86</v>
      </c>
      <c r="J44" s="111" t="s">
        <v>513</v>
      </c>
      <c r="K44" s="111"/>
      <c r="L44" s="146"/>
      <c r="M44" s="149" t="s">
        <v>392</v>
      </c>
      <c r="N44" s="111" t="s">
        <v>395</v>
      </c>
      <c r="O44" s="114"/>
      <c r="P44" s="114"/>
      <c r="Q44" s="111"/>
      <c r="R44" s="111"/>
      <c r="S44" s="111"/>
      <c r="T44" s="111"/>
      <c r="U44" s="111"/>
      <c r="V44" s="111"/>
      <c r="W44" s="111"/>
      <c r="X44" s="111"/>
      <c r="Y44" s="111"/>
      <c r="Z44" s="111"/>
      <c r="AA44" s="111"/>
      <c r="AB44" s="111"/>
      <c r="AC44" s="111"/>
      <c r="AD44" s="111"/>
      <c r="AE44" s="111"/>
      <c r="AF44" s="111"/>
      <c r="AG44" s="111"/>
      <c r="AH44" s="111"/>
      <c r="AI44" s="111"/>
      <c r="AJ44" s="111"/>
      <c r="AK44" s="111"/>
      <c r="AL44" s="111"/>
      <c r="AM44" s="111"/>
      <c r="AN44" s="111"/>
      <c r="AO44" s="111"/>
      <c r="AP44" s="111"/>
      <c r="AQ44" s="111"/>
      <c r="AR44" s="111"/>
      <c r="AS44" s="111"/>
      <c r="AT44" s="111"/>
      <c r="AU44" s="111"/>
      <c r="AV44" s="111"/>
      <c r="AW44" s="111"/>
      <c r="AX44" s="111"/>
      <c r="AY44" s="111"/>
      <c r="AZ44" s="111"/>
      <c r="BA44" s="146"/>
      <c r="BB44" s="104" t="s">
        <v>98</v>
      </c>
      <c r="BC44" s="72" t="s">
        <v>93</v>
      </c>
      <c r="BD44" s="72" t="s">
        <v>411</v>
      </c>
      <c r="BE44" s="72" t="s">
        <v>414</v>
      </c>
      <c r="BF44" s="146"/>
      <c r="BG44" s="112"/>
      <c r="BH44" s="113"/>
      <c r="BI44" s="146"/>
      <c r="BJ44" s="105"/>
      <c r="BK44" s="113"/>
      <c r="BL44" s="113"/>
      <c r="BM44" s="105"/>
      <c r="BN44" s="113"/>
      <c r="BO44" s="152"/>
      <c r="BP44" s="146"/>
      <c r="BQ44" s="112" t="s">
        <v>113</v>
      </c>
      <c r="BR44" s="113"/>
      <c r="BS44" s="105"/>
      <c r="BT44" s="146"/>
      <c r="BU44" s="105"/>
      <c r="BV44" s="105"/>
      <c r="BW44" s="112"/>
      <c r="BX44" s="113"/>
      <c r="BY44" s="105"/>
      <c r="BZ44" s="113"/>
      <c r="CA44" s="113"/>
      <c r="CB44" s="105"/>
      <c r="CC44" s="113"/>
      <c r="CD44" s="152"/>
      <c r="CE44" s="112"/>
      <c r="CF44" s="113"/>
      <c r="CG44" s="105"/>
      <c r="CH44" s="146"/>
      <c r="CI44" s="105"/>
      <c r="CJ44" s="105"/>
      <c r="CK44" s="112"/>
      <c r="CL44" s="113"/>
      <c r="CM44" s="105"/>
      <c r="CN44" s="152"/>
      <c r="CO44" s="152"/>
      <c r="CP44" s="105"/>
      <c r="CQ44" s="113"/>
      <c r="CR44" s="152"/>
      <c r="CS44" s="112"/>
      <c r="CT44" s="113"/>
      <c r="CU44" s="105"/>
      <c r="CV44" s="146"/>
      <c r="CW44" s="105"/>
      <c r="CX44" s="105"/>
      <c r="CY44" s="112"/>
      <c r="CZ44" s="113"/>
      <c r="DA44" s="105"/>
      <c r="DB44" s="113"/>
      <c r="DC44" s="113"/>
      <c r="DD44" s="105"/>
      <c r="DE44" s="113"/>
      <c r="DF44" s="113"/>
      <c r="DG44" s="112"/>
      <c r="DH44" s="113"/>
      <c r="DI44" s="105"/>
      <c r="DJ44" s="146"/>
      <c r="DK44" s="105"/>
      <c r="DL44" s="105"/>
      <c r="DM44" s="112"/>
      <c r="DN44" s="113"/>
      <c r="DO44" s="105"/>
      <c r="DP44" s="113"/>
      <c r="DQ44" s="113"/>
      <c r="DR44" s="105"/>
      <c r="DS44" s="113"/>
      <c r="DT44" s="113"/>
      <c r="DU44" s="112"/>
      <c r="DV44" s="113"/>
      <c r="DW44" s="105"/>
      <c r="DX44" s="146"/>
      <c r="DY44" s="105"/>
      <c r="DZ44" s="105"/>
      <c r="EA44" s="112"/>
      <c r="EB44" s="113"/>
      <c r="EC44" s="105"/>
      <c r="ED44" s="113"/>
      <c r="EE44" s="113"/>
      <c r="EF44" s="105"/>
      <c r="EG44" s="113"/>
      <c r="EH44" s="113"/>
      <c r="EI44" s="112"/>
      <c r="EJ44" s="113"/>
      <c r="EK44" s="105"/>
      <c r="EL44" s="146"/>
      <c r="EM44" s="72" t="s">
        <v>115</v>
      </c>
      <c r="EN44" s="74">
        <v>2250</v>
      </c>
      <c r="EO44" s="73"/>
      <c r="EP44" s="72" t="s">
        <v>77</v>
      </c>
      <c r="EQ44" s="72"/>
      <c r="ER44" s="75"/>
      <c r="ES44" s="76"/>
      <c r="ET44" s="77">
        <v>1</v>
      </c>
      <c r="EU44" s="77"/>
      <c r="EV44" s="78"/>
      <c r="EW44" s="72"/>
      <c r="EX44" s="72"/>
      <c r="EY44" s="72" t="s">
        <v>100</v>
      </c>
      <c r="EZ44" s="72" t="s">
        <v>114</v>
      </c>
      <c r="FA44" s="72"/>
      <c r="FB44" s="78" t="s">
        <v>116</v>
      </c>
      <c r="FC44" s="78"/>
      <c r="FD44" s="146"/>
      <c r="FE44" s="78"/>
      <c r="FF44" s="78"/>
      <c r="FG44" s="78"/>
      <c r="FH44" s="78"/>
      <c r="FI44" s="78"/>
      <c r="FJ44" s="78"/>
      <c r="FK44" s="78"/>
      <c r="FL44" s="78"/>
      <c r="FM44" s="78"/>
      <c r="FN44" s="78"/>
      <c r="FO44" s="146"/>
      <c r="FP44" s="78"/>
      <c r="FQ44" s="78"/>
      <c r="FR44" s="78"/>
      <c r="FS44" s="78"/>
      <c r="FT44" s="78"/>
      <c r="FU44" s="78"/>
      <c r="FV44" s="78"/>
      <c r="FW44" s="78"/>
      <c r="FX44" s="78"/>
      <c r="FY44" s="78"/>
    </row>
    <row r="45" spans="1:181" s="71" customFormat="1" ht="16.350000000000001" customHeight="1" x14ac:dyDescent="0.25">
      <c r="A45" s="109"/>
      <c r="B45" s="70"/>
      <c r="C45" s="110"/>
      <c r="D45" s="110">
        <v>1</v>
      </c>
      <c r="E45" s="146"/>
      <c r="F45" s="109" t="str">
        <f>mehrsprachigkeitBegriffsrückgabe(gewählteSpracheZurückgeben(), "Variant")</f>
        <v>Variante</v>
      </c>
      <c r="G45" s="111" t="s">
        <v>224</v>
      </c>
      <c r="H45" s="111"/>
      <c r="I45" s="111" t="s">
        <v>86</v>
      </c>
      <c r="J45" s="111" t="s">
        <v>513</v>
      </c>
      <c r="K45" s="111"/>
      <c r="L45" s="146"/>
      <c r="M45" s="149" t="s">
        <v>481</v>
      </c>
      <c r="N45" s="111" t="s">
        <v>482</v>
      </c>
      <c r="O45" s="114" t="s">
        <v>486</v>
      </c>
      <c r="P45" s="114" t="s">
        <v>487</v>
      </c>
      <c r="Q45" s="111"/>
      <c r="R45" s="111" t="s">
        <v>113</v>
      </c>
      <c r="S45" s="111"/>
      <c r="T45" s="111"/>
      <c r="U45" s="111"/>
      <c r="V45" s="111"/>
      <c r="W45" s="111"/>
      <c r="X45" s="111"/>
      <c r="Y45" s="111"/>
      <c r="Z45" s="111"/>
      <c r="AA45" s="111"/>
      <c r="AB45" s="111"/>
      <c r="AC45" s="111"/>
      <c r="AD45" s="111"/>
      <c r="AE45" s="111"/>
      <c r="AF45" s="111"/>
      <c r="AG45" s="111"/>
      <c r="AH45" s="111"/>
      <c r="AI45" s="111"/>
      <c r="AJ45" s="111"/>
      <c r="AK45" s="111"/>
      <c r="AL45" s="111"/>
      <c r="AM45" s="111"/>
      <c r="AN45" s="111"/>
      <c r="AO45" s="111"/>
      <c r="AP45" s="111"/>
      <c r="AQ45" s="111"/>
      <c r="AR45" s="111"/>
      <c r="AS45" s="111"/>
      <c r="AT45" s="111"/>
      <c r="AU45" s="111"/>
      <c r="AV45" s="111"/>
      <c r="AW45" s="111"/>
      <c r="AX45" s="111"/>
      <c r="AY45" s="111"/>
      <c r="AZ45" s="111"/>
      <c r="BA45" s="146"/>
      <c r="BB45" s="104"/>
      <c r="BC45" s="72"/>
      <c r="BD45" s="72"/>
      <c r="BE45" s="72"/>
      <c r="BF45" s="146"/>
      <c r="BG45" s="112"/>
      <c r="BH45" s="113" t="str">
        <f>mehrsprachigkeitBegriffsrückgabe(gewählteSpracheZurückgeben(), "Independent price")</f>
        <v>Eigenständiger Preis</v>
      </c>
      <c r="BI45" s="146"/>
      <c r="BJ45" s="105"/>
      <c r="BK45" s="113"/>
      <c r="BL45" s="113"/>
      <c r="BM45" s="105"/>
      <c r="BN45" s="113"/>
      <c r="BO45" s="152"/>
      <c r="BP45" s="146"/>
      <c r="BQ45" s="112"/>
      <c r="BR45" s="113"/>
      <c r="BS45" s="105"/>
      <c r="BT45" s="146"/>
      <c r="BU45" s="105"/>
      <c r="BV45" s="105"/>
      <c r="BW45" s="112"/>
      <c r="BX45" s="113"/>
      <c r="BY45" s="105"/>
      <c r="BZ45" s="113"/>
      <c r="CA45" s="113"/>
      <c r="CB45" s="105"/>
      <c r="CC45" s="113"/>
      <c r="CD45" s="152"/>
      <c r="CE45" s="112"/>
      <c r="CF45" s="113"/>
      <c r="CG45" s="105"/>
      <c r="CH45" s="146"/>
      <c r="CI45" s="105"/>
      <c r="CJ45" s="105"/>
      <c r="CK45" s="112"/>
      <c r="CL45" s="113"/>
      <c r="CM45" s="105"/>
      <c r="CN45" s="152"/>
      <c r="CO45" s="152"/>
      <c r="CP45" s="105"/>
      <c r="CQ45" s="113"/>
      <c r="CR45" s="152"/>
      <c r="CS45" s="112"/>
      <c r="CT45" s="113"/>
      <c r="CU45" s="105"/>
      <c r="CV45" s="146"/>
      <c r="CW45" s="105"/>
      <c r="CX45" s="105"/>
      <c r="CY45" s="112"/>
      <c r="CZ45" s="113"/>
      <c r="DA45" s="105"/>
      <c r="DB45" s="113"/>
      <c r="DC45" s="113"/>
      <c r="DD45" s="105"/>
      <c r="DE45" s="113"/>
      <c r="DF45" s="113"/>
      <c r="DG45" s="112"/>
      <c r="DH45" s="113"/>
      <c r="DI45" s="105"/>
      <c r="DJ45" s="146"/>
      <c r="DK45" s="105"/>
      <c r="DL45" s="105"/>
      <c r="DM45" s="112"/>
      <c r="DN45" s="113"/>
      <c r="DO45" s="105"/>
      <c r="DP45" s="113"/>
      <c r="DQ45" s="113"/>
      <c r="DR45" s="105"/>
      <c r="DS45" s="113"/>
      <c r="DT45" s="113"/>
      <c r="DU45" s="112"/>
      <c r="DV45" s="113"/>
      <c r="DW45" s="105"/>
      <c r="DX45" s="146"/>
      <c r="DY45" s="105"/>
      <c r="DZ45" s="105"/>
      <c r="EA45" s="112"/>
      <c r="EB45" s="113"/>
      <c r="EC45" s="105"/>
      <c r="ED45" s="113"/>
      <c r="EE45" s="113"/>
      <c r="EF45" s="105"/>
      <c r="EG45" s="113"/>
      <c r="EH45" s="113"/>
      <c r="EI45" s="112"/>
      <c r="EJ45" s="113"/>
      <c r="EK45" s="105"/>
      <c r="EL45" s="146"/>
      <c r="EM45" s="72"/>
      <c r="EN45" s="74"/>
      <c r="EO45" s="73"/>
      <c r="EP45" s="72"/>
      <c r="EQ45" s="72"/>
      <c r="ER45" s="75"/>
      <c r="ES45" s="76"/>
      <c r="ET45" s="77"/>
      <c r="EU45" s="77"/>
      <c r="EV45" s="78"/>
      <c r="EW45" s="72" t="s">
        <v>113</v>
      </c>
      <c r="EX45" s="72" t="s">
        <v>113</v>
      </c>
      <c r="EY45" s="72" t="s">
        <v>100</v>
      </c>
      <c r="EZ45" s="72" t="s">
        <v>114</v>
      </c>
      <c r="FA45" s="72"/>
      <c r="FB45" s="78"/>
      <c r="FC45" s="78"/>
      <c r="FD45" s="146"/>
      <c r="FE45" s="78"/>
      <c r="FF45" s="78"/>
      <c r="FG45" s="78"/>
      <c r="FH45" s="78"/>
      <c r="FI45" s="78"/>
      <c r="FJ45" s="78"/>
      <c r="FK45" s="78"/>
      <c r="FL45" s="78"/>
      <c r="FM45" s="78"/>
      <c r="FN45" s="78"/>
      <c r="FO45" s="146"/>
      <c r="FP45" s="78"/>
      <c r="FQ45" s="78"/>
      <c r="FR45" s="78"/>
      <c r="FS45" s="78"/>
      <c r="FT45" s="78"/>
      <c r="FU45" s="78"/>
      <c r="FV45" s="78"/>
      <c r="FW45" s="78"/>
      <c r="FX45" s="78"/>
      <c r="FY45" s="78"/>
    </row>
    <row r="46" spans="1:181" s="71" customFormat="1" ht="16.350000000000001" customHeight="1" x14ac:dyDescent="0.25">
      <c r="A46" s="109"/>
      <c r="B46" s="70"/>
      <c r="C46" s="110"/>
      <c r="D46" s="110">
        <v>1</v>
      </c>
      <c r="E46" s="146"/>
      <c r="F46" s="109" t="str">
        <f>mehrsprachigkeitBegriffsrückgabe(gewählteSpracheZurückgeben(), "Variant")</f>
        <v>Variante</v>
      </c>
      <c r="G46" s="111" t="s">
        <v>224</v>
      </c>
      <c r="H46" s="111"/>
      <c r="I46" s="111" t="s">
        <v>86</v>
      </c>
      <c r="J46" s="111" t="s">
        <v>513</v>
      </c>
      <c r="K46" s="111"/>
      <c r="L46" s="146"/>
      <c r="M46" s="149" t="s">
        <v>481</v>
      </c>
      <c r="N46" s="111" t="s">
        <v>482</v>
      </c>
      <c r="O46" s="114" t="s">
        <v>486</v>
      </c>
      <c r="P46" s="114" t="s">
        <v>488</v>
      </c>
      <c r="Q46" s="111"/>
      <c r="R46" s="111"/>
      <c r="S46" s="111"/>
      <c r="T46" s="111"/>
      <c r="U46" s="111"/>
      <c r="V46" s="111"/>
      <c r="W46" s="111"/>
      <c r="X46" s="111"/>
      <c r="Y46" s="111"/>
      <c r="Z46" s="111"/>
      <c r="AA46" s="111"/>
      <c r="AB46" s="111"/>
      <c r="AC46" s="111"/>
      <c r="AD46" s="111"/>
      <c r="AE46" s="111"/>
      <c r="AF46" s="111"/>
      <c r="AG46" s="111"/>
      <c r="AH46" s="111"/>
      <c r="AI46" s="111"/>
      <c r="AJ46" s="111"/>
      <c r="AK46" s="111"/>
      <c r="AL46" s="111"/>
      <c r="AM46" s="111"/>
      <c r="AN46" s="111"/>
      <c r="AO46" s="111"/>
      <c r="AP46" s="111"/>
      <c r="AQ46" s="111"/>
      <c r="AR46" s="111"/>
      <c r="AS46" s="111"/>
      <c r="AT46" s="111"/>
      <c r="AU46" s="111"/>
      <c r="AV46" s="111"/>
      <c r="AW46" s="111"/>
      <c r="AX46" s="111"/>
      <c r="AY46" s="111"/>
      <c r="AZ46" s="111"/>
      <c r="BA46" s="146"/>
      <c r="BB46" s="104"/>
      <c r="BC46" s="72"/>
      <c r="BD46" s="72"/>
      <c r="BE46" s="72"/>
      <c r="BF46" s="146"/>
      <c r="BG46" s="112"/>
      <c r="BH46" s="113" t="str">
        <f>mehrsprachigkeitBegriffsrückgabe(gewählteSpracheZurückgeben(), "Independent price")</f>
        <v>Eigenständiger Preis</v>
      </c>
      <c r="BI46" s="146"/>
      <c r="BJ46" s="105"/>
      <c r="BK46" s="113"/>
      <c r="BL46" s="113"/>
      <c r="BM46" s="105"/>
      <c r="BN46" s="113"/>
      <c r="BO46" s="152"/>
      <c r="BP46" s="146"/>
      <c r="BQ46" s="112"/>
      <c r="BR46" s="113"/>
      <c r="BS46" s="105"/>
      <c r="BT46" s="146"/>
      <c r="BU46" s="105"/>
      <c r="BV46" s="105"/>
      <c r="BW46" s="112"/>
      <c r="BX46" s="113"/>
      <c r="BY46" s="105"/>
      <c r="BZ46" s="113"/>
      <c r="CA46" s="113"/>
      <c r="CB46" s="105"/>
      <c r="CC46" s="113"/>
      <c r="CD46" s="152"/>
      <c r="CE46" s="112"/>
      <c r="CF46" s="113"/>
      <c r="CG46" s="105"/>
      <c r="CH46" s="146"/>
      <c r="CI46" s="105"/>
      <c r="CJ46" s="105"/>
      <c r="CK46" s="112"/>
      <c r="CL46" s="113"/>
      <c r="CM46" s="105"/>
      <c r="CN46" s="152"/>
      <c r="CO46" s="152"/>
      <c r="CP46" s="105"/>
      <c r="CQ46" s="113"/>
      <c r="CR46" s="152"/>
      <c r="CS46" s="112"/>
      <c r="CT46" s="113"/>
      <c r="CU46" s="105"/>
      <c r="CV46" s="146"/>
      <c r="CW46" s="105"/>
      <c r="CX46" s="105"/>
      <c r="CY46" s="112"/>
      <c r="CZ46" s="113"/>
      <c r="DA46" s="105"/>
      <c r="DB46" s="113"/>
      <c r="DC46" s="113"/>
      <c r="DD46" s="105"/>
      <c r="DE46" s="113"/>
      <c r="DF46" s="113"/>
      <c r="DG46" s="112"/>
      <c r="DH46" s="113"/>
      <c r="DI46" s="105"/>
      <c r="DJ46" s="146"/>
      <c r="DK46" s="105"/>
      <c r="DL46" s="105"/>
      <c r="DM46" s="112"/>
      <c r="DN46" s="113"/>
      <c r="DO46" s="105"/>
      <c r="DP46" s="113"/>
      <c r="DQ46" s="113"/>
      <c r="DR46" s="105"/>
      <c r="DS46" s="113"/>
      <c r="DT46" s="113"/>
      <c r="DU46" s="112"/>
      <c r="DV46" s="113"/>
      <c r="DW46" s="105"/>
      <c r="DX46" s="146"/>
      <c r="DY46" s="105"/>
      <c r="DZ46" s="105"/>
      <c r="EA46" s="112"/>
      <c r="EB46" s="113"/>
      <c r="EC46" s="105"/>
      <c r="ED46" s="113"/>
      <c r="EE46" s="113"/>
      <c r="EF46" s="105"/>
      <c r="EG46" s="113"/>
      <c r="EH46" s="113"/>
      <c r="EI46" s="112"/>
      <c r="EJ46" s="113"/>
      <c r="EK46" s="105"/>
      <c r="EL46" s="146"/>
      <c r="EM46" s="72"/>
      <c r="EN46" s="74"/>
      <c r="EO46" s="73"/>
      <c r="EP46" s="72"/>
      <c r="EQ46" s="72"/>
      <c r="ER46" s="75"/>
      <c r="ES46" s="76"/>
      <c r="ET46" s="77"/>
      <c r="EU46" s="77"/>
      <c r="EV46" s="78"/>
      <c r="EW46" s="72" t="s">
        <v>113</v>
      </c>
      <c r="EX46" s="72" t="s">
        <v>113</v>
      </c>
      <c r="EY46" s="72" t="s">
        <v>100</v>
      </c>
      <c r="EZ46" s="72" t="s">
        <v>114</v>
      </c>
      <c r="FA46" s="72"/>
      <c r="FB46" s="78"/>
      <c r="FC46" s="78"/>
      <c r="FD46" s="146"/>
      <c r="FE46" s="78"/>
      <c r="FF46" s="78"/>
      <c r="FG46" s="78"/>
      <c r="FH46" s="78"/>
      <c r="FI46" s="78"/>
      <c r="FJ46" s="78"/>
      <c r="FK46" s="78"/>
      <c r="FL46" s="78"/>
      <c r="FM46" s="78"/>
      <c r="FN46" s="78"/>
      <c r="FO46" s="146"/>
      <c r="FP46" s="78"/>
      <c r="FQ46" s="78"/>
      <c r="FR46" s="78"/>
      <c r="FS46" s="78"/>
      <c r="FT46" s="78"/>
      <c r="FU46" s="78"/>
      <c r="FV46" s="78"/>
      <c r="FW46" s="78"/>
      <c r="FX46" s="78"/>
      <c r="FY46" s="78"/>
    </row>
    <row r="47" spans="1:181" s="71" customFormat="1" ht="16.350000000000001" customHeight="1" x14ac:dyDescent="0.25">
      <c r="A47" s="109"/>
      <c r="B47" s="70"/>
      <c r="C47" s="110"/>
      <c r="D47" s="110">
        <v>1</v>
      </c>
      <c r="E47" s="146"/>
      <c r="F47" s="109" t="str">
        <f>mehrsprachigkeitBegriffsrückgabe(gewählteSpracheZurückgeben(), "Variant")</f>
        <v>Variante</v>
      </c>
      <c r="G47" s="111" t="s">
        <v>224</v>
      </c>
      <c r="H47" s="111"/>
      <c r="I47" s="111" t="s">
        <v>86</v>
      </c>
      <c r="J47" s="111" t="s">
        <v>513</v>
      </c>
      <c r="K47" s="111"/>
      <c r="L47" s="146"/>
      <c r="M47" s="149" t="s">
        <v>481</v>
      </c>
      <c r="N47" s="111" t="s">
        <v>482</v>
      </c>
      <c r="O47" s="114" t="s">
        <v>486</v>
      </c>
      <c r="P47" s="114" t="s">
        <v>489</v>
      </c>
      <c r="Q47" s="111"/>
      <c r="R47" s="111"/>
      <c r="S47" s="111"/>
      <c r="T47" s="111"/>
      <c r="U47" s="111"/>
      <c r="V47" s="111"/>
      <c r="W47" s="111"/>
      <c r="X47" s="111"/>
      <c r="Y47" s="111"/>
      <c r="Z47" s="111"/>
      <c r="AA47" s="111"/>
      <c r="AB47" s="111"/>
      <c r="AC47" s="111"/>
      <c r="AD47" s="111"/>
      <c r="AE47" s="111"/>
      <c r="AF47" s="111"/>
      <c r="AG47" s="111"/>
      <c r="AH47" s="111"/>
      <c r="AI47" s="111"/>
      <c r="AJ47" s="111"/>
      <c r="AK47" s="111"/>
      <c r="AL47" s="111"/>
      <c r="AM47" s="111"/>
      <c r="AN47" s="111"/>
      <c r="AO47" s="111"/>
      <c r="AP47" s="111"/>
      <c r="AQ47" s="111"/>
      <c r="AR47" s="111"/>
      <c r="AS47" s="111"/>
      <c r="AT47" s="111"/>
      <c r="AU47" s="111"/>
      <c r="AV47" s="111"/>
      <c r="AW47" s="111"/>
      <c r="AX47" s="111"/>
      <c r="AY47" s="111"/>
      <c r="AZ47" s="111"/>
      <c r="BA47" s="146"/>
      <c r="BB47" s="104"/>
      <c r="BC47" s="72"/>
      <c r="BD47" s="72"/>
      <c r="BE47" s="72"/>
      <c r="BF47" s="146"/>
      <c r="BG47" s="112"/>
      <c r="BH47" s="113" t="str">
        <f>mehrsprachigkeitBegriffsrückgabe(gewählteSpracheZurückgeben(), "Independent price")</f>
        <v>Eigenständiger Preis</v>
      </c>
      <c r="BI47" s="146"/>
      <c r="BJ47" s="105"/>
      <c r="BK47" s="113"/>
      <c r="BL47" s="113"/>
      <c r="BM47" s="105"/>
      <c r="BN47" s="113"/>
      <c r="BO47" s="152"/>
      <c r="BP47" s="146"/>
      <c r="BQ47" s="112"/>
      <c r="BR47" s="113"/>
      <c r="BS47" s="105"/>
      <c r="BT47" s="146"/>
      <c r="BU47" s="105"/>
      <c r="BV47" s="105"/>
      <c r="BW47" s="112"/>
      <c r="BX47" s="113"/>
      <c r="BY47" s="105"/>
      <c r="BZ47" s="113"/>
      <c r="CA47" s="113"/>
      <c r="CB47" s="105"/>
      <c r="CC47" s="113"/>
      <c r="CD47" s="152"/>
      <c r="CE47" s="112"/>
      <c r="CF47" s="113"/>
      <c r="CG47" s="105"/>
      <c r="CH47" s="146"/>
      <c r="CI47" s="105"/>
      <c r="CJ47" s="105"/>
      <c r="CK47" s="112"/>
      <c r="CL47" s="113"/>
      <c r="CM47" s="105"/>
      <c r="CN47" s="152"/>
      <c r="CO47" s="152"/>
      <c r="CP47" s="105"/>
      <c r="CQ47" s="113"/>
      <c r="CR47" s="152"/>
      <c r="CS47" s="112"/>
      <c r="CT47" s="113"/>
      <c r="CU47" s="105"/>
      <c r="CV47" s="146"/>
      <c r="CW47" s="105"/>
      <c r="CX47" s="105"/>
      <c r="CY47" s="112"/>
      <c r="CZ47" s="113"/>
      <c r="DA47" s="105"/>
      <c r="DB47" s="113"/>
      <c r="DC47" s="113"/>
      <c r="DD47" s="105"/>
      <c r="DE47" s="113"/>
      <c r="DF47" s="113"/>
      <c r="DG47" s="112"/>
      <c r="DH47" s="113"/>
      <c r="DI47" s="105"/>
      <c r="DJ47" s="146"/>
      <c r="DK47" s="105"/>
      <c r="DL47" s="105"/>
      <c r="DM47" s="112"/>
      <c r="DN47" s="113"/>
      <c r="DO47" s="105"/>
      <c r="DP47" s="113"/>
      <c r="DQ47" s="113"/>
      <c r="DR47" s="105"/>
      <c r="DS47" s="113"/>
      <c r="DT47" s="113"/>
      <c r="DU47" s="112"/>
      <c r="DV47" s="113"/>
      <c r="DW47" s="105"/>
      <c r="DX47" s="146"/>
      <c r="DY47" s="105"/>
      <c r="DZ47" s="105"/>
      <c r="EA47" s="112"/>
      <c r="EB47" s="113"/>
      <c r="EC47" s="105"/>
      <c r="ED47" s="113"/>
      <c r="EE47" s="113"/>
      <c r="EF47" s="105"/>
      <c r="EG47" s="113"/>
      <c r="EH47" s="113"/>
      <c r="EI47" s="112"/>
      <c r="EJ47" s="113"/>
      <c r="EK47" s="105"/>
      <c r="EL47" s="146"/>
      <c r="EM47" s="72"/>
      <c r="EN47" s="74"/>
      <c r="EO47" s="73"/>
      <c r="EP47" s="72"/>
      <c r="EQ47" s="72"/>
      <c r="ER47" s="75"/>
      <c r="ES47" s="76"/>
      <c r="ET47" s="77"/>
      <c r="EU47" s="77"/>
      <c r="EV47" s="78"/>
      <c r="EW47" s="72" t="s">
        <v>113</v>
      </c>
      <c r="EX47" s="72" t="s">
        <v>113</v>
      </c>
      <c r="EY47" s="72" t="s">
        <v>100</v>
      </c>
      <c r="EZ47" s="72" t="s">
        <v>114</v>
      </c>
      <c r="FA47" s="72"/>
      <c r="FB47" s="78"/>
      <c r="FC47" s="78"/>
      <c r="FD47" s="146"/>
      <c r="FE47" s="78"/>
      <c r="FF47" s="78"/>
      <c r="FG47" s="78"/>
      <c r="FH47" s="78"/>
      <c r="FI47" s="78"/>
      <c r="FJ47" s="78"/>
      <c r="FK47" s="78"/>
      <c r="FL47" s="78"/>
      <c r="FM47" s="78"/>
      <c r="FN47" s="78"/>
      <c r="FO47" s="146"/>
      <c r="FP47" s="78"/>
      <c r="FQ47" s="78"/>
      <c r="FR47" s="78"/>
      <c r="FS47" s="78"/>
      <c r="FT47" s="78"/>
      <c r="FU47" s="78"/>
      <c r="FV47" s="78"/>
      <c r="FW47" s="78"/>
      <c r="FX47" s="78"/>
      <c r="FY47" s="78"/>
    </row>
    <row r="48" spans="1:181" s="71" customFormat="1" ht="16.350000000000001" customHeight="1" x14ac:dyDescent="0.25">
      <c r="A48" s="109"/>
      <c r="B48" s="70"/>
      <c r="C48" s="110"/>
      <c r="D48" s="110">
        <v>1</v>
      </c>
      <c r="E48" s="146"/>
      <c r="F48" s="109" t="str">
        <f>mehrsprachigkeitBegriffsrückgabe(gewählteSpracheZurückgeben(), "Variant")</f>
        <v>Variante</v>
      </c>
      <c r="G48" s="111" t="s">
        <v>224</v>
      </c>
      <c r="H48" s="111"/>
      <c r="I48" s="111" t="s">
        <v>86</v>
      </c>
      <c r="J48" s="111" t="s">
        <v>513</v>
      </c>
      <c r="K48" s="111"/>
      <c r="L48" s="146"/>
      <c r="M48" s="149" t="s">
        <v>481</v>
      </c>
      <c r="N48" s="111" t="s">
        <v>482</v>
      </c>
      <c r="O48" s="114" t="s">
        <v>486</v>
      </c>
      <c r="P48" s="114" t="s">
        <v>491</v>
      </c>
      <c r="Q48" s="111"/>
      <c r="R48" s="111"/>
      <c r="S48" s="111"/>
      <c r="T48" s="111"/>
      <c r="U48" s="111"/>
      <c r="V48" s="111"/>
      <c r="W48" s="111"/>
      <c r="X48" s="111"/>
      <c r="Y48" s="111"/>
      <c r="Z48" s="111"/>
      <c r="AA48" s="111"/>
      <c r="AB48" s="111"/>
      <c r="AC48" s="111"/>
      <c r="AD48" s="111"/>
      <c r="AE48" s="111"/>
      <c r="AF48" s="111"/>
      <c r="AG48" s="111"/>
      <c r="AH48" s="111"/>
      <c r="AI48" s="111"/>
      <c r="AJ48" s="111"/>
      <c r="AK48" s="111"/>
      <c r="AL48" s="111"/>
      <c r="AM48" s="111"/>
      <c r="AN48" s="111"/>
      <c r="AO48" s="111"/>
      <c r="AP48" s="111"/>
      <c r="AQ48" s="111"/>
      <c r="AR48" s="111"/>
      <c r="AS48" s="111"/>
      <c r="AT48" s="111"/>
      <c r="AU48" s="111"/>
      <c r="AV48" s="111"/>
      <c r="AW48" s="111"/>
      <c r="AX48" s="111"/>
      <c r="AY48" s="111"/>
      <c r="AZ48" s="111"/>
      <c r="BA48" s="146"/>
      <c r="BB48" s="104"/>
      <c r="BC48" s="72"/>
      <c r="BD48" s="72"/>
      <c r="BE48" s="72"/>
      <c r="BF48" s="146"/>
      <c r="BG48" s="112"/>
      <c r="BH48" s="113" t="str">
        <f>mehrsprachigkeitBegriffsrückgabe(gewählteSpracheZurückgeben(), "Independent price")</f>
        <v>Eigenständiger Preis</v>
      </c>
      <c r="BI48" s="146"/>
      <c r="BJ48" s="105"/>
      <c r="BK48" s="113"/>
      <c r="BL48" s="113"/>
      <c r="BM48" s="105"/>
      <c r="BN48" s="113"/>
      <c r="BO48" s="152"/>
      <c r="BP48" s="146"/>
      <c r="BQ48" s="112"/>
      <c r="BR48" s="113"/>
      <c r="BS48" s="105"/>
      <c r="BT48" s="146"/>
      <c r="BU48" s="105"/>
      <c r="BV48" s="105"/>
      <c r="BW48" s="112"/>
      <c r="BX48" s="113"/>
      <c r="BY48" s="105"/>
      <c r="BZ48" s="113"/>
      <c r="CA48" s="113"/>
      <c r="CB48" s="105"/>
      <c r="CC48" s="113"/>
      <c r="CD48" s="152"/>
      <c r="CE48" s="112"/>
      <c r="CF48" s="113"/>
      <c r="CG48" s="105"/>
      <c r="CH48" s="146"/>
      <c r="CI48" s="105"/>
      <c r="CJ48" s="105"/>
      <c r="CK48" s="112"/>
      <c r="CL48" s="113"/>
      <c r="CM48" s="105"/>
      <c r="CN48" s="152"/>
      <c r="CO48" s="152"/>
      <c r="CP48" s="105"/>
      <c r="CQ48" s="113"/>
      <c r="CR48" s="152"/>
      <c r="CS48" s="112"/>
      <c r="CT48" s="113"/>
      <c r="CU48" s="105"/>
      <c r="CV48" s="146"/>
      <c r="CW48" s="105"/>
      <c r="CX48" s="105"/>
      <c r="CY48" s="112"/>
      <c r="CZ48" s="113"/>
      <c r="DA48" s="105"/>
      <c r="DB48" s="113"/>
      <c r="DC48" s="113"/>
      <c r="DD48" s="105"/>
      <c r="DE48" s="113"/>
      <c r="DF48" s="113"/>
      <c r="DG48" s="112"/>
      <c r="DH48" s="113"/>
      <c r="DI48" s="105"/>
      <c r="DJ48" s="146"/>
      <c r="DK48" s="105"/>
      <c r="DL48" s="105"/>
      <c r="DM48" s="112"/>
      <c r="DN48" s="113"/>
      <c r="DO48" s="105"/>
      <c r="DP48" s="113"/>
      <c r="DQ48" s="113"/>
      <c r="DR48" s="105"/>
      <c r="DS48" s="113"/>
      <c r="DT48" s="113"/>
      <c r="DU48" s="112"/>
      <c r="DV48" s="113"/>
      <c r="DW48" s="105"/>
      <c r="DX48" s="146"/>
      <c r="DY48" s="105"/>
      <c r="DZ48" s="105"/>
      <c r="EA48" s="112"/>
      <c r="EB48" s="113"/>
      <c r="EC48" s="105"/>
      <c r="ED48" s="113"/>
      <c r="EE48" s="113"/>
      <c r="EF48" s="105"/>
      <c r="EG48" s="113"/>
      <c r="EH48" s="113"/>
      <c r="EI48" s="112"/>
      <c r="EJ48" s="113"/>
      <c r="EK48" s="105"/>
      <c r="EL48" s="146"/>
      <c r="EM48" s="72"/>
      <c r="EN48" s="74"/>
      <c r="EO48" s="73"/>
      <c r="EP48" s="72"/>
      <c r="EQ48" s="72"/>
      <c r="ER48" s="75"/>
      <c r="ES48" s="76"/>
      <c r="ET48" s="77"/>
      <c r="EU48" s="77"/>
      <c r="EV48" s="78"/>
      <c r="EW48" s="72" t="s">
        <v>113</v>
      </c>
      <c r="EX48" s="72" t="s">
        <v>113</v>
      </c>
      <c r="EY48" s="72" t="s">
        <v>100</v>
      </c>
      <c r="EZ48" s="72" t="s">
        <v>114</v>
      </c>
      <c r="FA48" s="72"/>
      <c r="FB48" s="78"/>
      <c r="FC48" s="78"/>
      <c r="FD48" s="146"/>
      <c r="FE48" s="78"/>
      <c r="FF48" s="78"/>
      <c r="FG48" s="78"/>
      <c r="FH48" s="78"/>
      <c r="FI48" s="78"/>
      <c r="FJ48" s="78"/>
      <c r="FK48" s="78"/>
      <c r="FL48" s="78"/>
      <c r="FM48" s="78"/>
      <c r="FN48" s="78"/>
      <c r="FO48" s="146"/>
      <c r="FP48" s="78"/>
      <c r="FQ48" s="78"/>
      <c r="FR48" s="78"/>
      <c r="FS48" s="78"/>
      <c r="FT48" s="78"/>
      <c r="FU48" s="78"/>
      <c r="FV48" s="78"/>
      <c r="FW48" s="78"/>
      <c r="FX48" s="78"/>
      <c r="FY48" s="78"/>
    </row>
    <row r="49" spans="1:181" s="71" customFormat="1" ht="16.350000000000001" customHeight="1" x14ac:dyDescent="0.25">
      <c r="A49" s="109"/>
      <c r="B49" s="70"/>
      <c r="C49" s="110"/>
      <c r="D49" s="110">
        <v>1</v>
      </c>
      <c r="E49" s="146"/>
      <c r="F49" s="109" t="str">
        <f>mehrsprachigkeitBegriffsrückgabe(gewählteSpracheZurückgeben(), "Variant")</f>
        <v>Variante</v>
      </c>
      <c r="G49" s="111" t="s">
        <v>224</v>
      </c>
      <c r="H49" s="111"/>
      <c r="I49" s="111" t="s">
        <v>86</v>
      </c>
      <c r="J49" s="111" t="s">
        <v>513</v>
      </c>
      <c r="K49" s="111"/>
      <c r="L49" s="146"/>
      <c r="M49" s="149" t="s">
        <v>481</v>
      </c>
      <c r="N49" s="111" t="s">
        <v>482</v>
      </c>
      <c r="O49" s="114" t="s">
        <v>486</v>
      </c>
      <c r="P49" s="114" t="s">
        <v>493</v>
      </c>
      <c r="Q49" s="111"/>
      <c r="R49" s="111"/>
      <c r="S49" s="111"/>
      <c r="T49" s="111"/>
      <c r="U49" s="111"/>
      <c r="V49" s="111"/>
      <c r="W49" s="111"/>
      <c r="X49" s="111"/>
      <c r="Y49" s="111"/>
      <c r="Z49" s="111"/>
      <c r="AA49" s="111"/>
      <c r="AB49" s="111"/>
      <c r="AC49" s="111"/>
      <c r="AD49" s="111"/>
      <c r="AE49" s="111"/>
      <c r="AF49" s="111"/>
      <c r="AG49" s="111"/>
      <c r="AH49" s="111"/>
      <c r="AI49" s="111"/>
      <c r="AJ49" s="111"/>
      <c r="AK49" s="111"/>
      <c r="AL49" s="111"/>
      <c r="AM49" s="111"/>
      <c r="AN49" s="111"/>
      <c r="AO49" s="111"/>
      <c r="AP49" s="111"/>
      <c r="AQ49" s="111"/>
      <c r="AR49" s="111"/>
      <c r="AS49" s="111"/>
      <c r="AT49" s="111"/>
      <c r="AU49" s="111"/>
      <c r="AV49" s="111"/>
      <c r="AW49" s="111"/>
      <c r="AX49" s="111"/>
      <c r="AY49" s="111"/>
      <c r="AZ49" s="111"/>
      <c r="BA49" s="146"/>
      <c r="BB49" s="104"/>
      <c r="BC49" s="72"/>
      <c r="BD49" s="72"/>
      <c r="BE49" s="72"/>
      <c r="BF49" s="146"/>
      <c r="BG49" s="112"/>
      <c r="BH49" s="113" t="str">
        <f>mehrsprachigkeitBegriffsrückgabe(gewählteSpracheZurückgeben(), "Independent price")</f>
        <v>Eigenständiger Preis</v>
      </c>
      <c r="BI49" s="146"/>
      <c r="BJ49" s="105"/>
      <c r="BK49" s="113"/>
      <c r="BL49" s="113"/>
      <c r="BM49" s="105"/>
      <c r="BN49" s="113"/>
      <c r="BO49" s="152"/>
      <c r="BP49" s="146"/>
      <c r="BQ49" s="112"/>
      <c r="BR49" s="113"/>
      <c r="BS49" s="105"/>
      <c r="BT49" s="146"/>
      <c r="BU49" s="105"/>
      <c r="BV49" s="105"/>
      <c r="BW49" s="112"/>
      <c r="BX49" s="113"/>
      <c r="BY49" s="105"/>
      <c r="BZ49" s="113"/>
      <c r="CA49" s="113"/>
      <c r="CB49" s="105"/>
      <c r="CC49" s="113"/>
      <c r="CD49" s="152"/>
      <c r="CE49" s="112"/>
      <c r="CF49" s="113"/>
      <c r="CG49" s="105"/>
      <c r="CH49" s="146"/>
      <c r="CI49" s="105"/>
      <c r="CJ49" s="105"/>
      <c r="CK49" s="112"/>
      <c r="CL49" s="113"/>
      <c r="CM49" s="105"/>
      <c r="CN49" s="152"/>
      <c r="CO49" s="152"/>
      <c r="CP49" s="105"/>
      <c r="CQ49" s="113"/>
      <c r="CR49" s="152"/>
      <c r="CS49" s="112"/>
      <c r="CT49" s="113"/>
      <c r="CU49" s="105"/>
      <c r="CV49" s="146"/>
      <c r="CW49" s="105"/>
      <c r="CX49" s="105"/>
      <c r="CY49" s="112"/>
      <c r="CZ49" s="113"/>
      <c r="DA49" s="105"/>
      <c r="DB49" s="113"/>
      <c r="DC49" s="113"/>
      <c r="DD49" s="105"/>
      <c r="DE49" s="113"/>
      <c r="DF49" s="113"/>
      <c r="DG49" s="112"/>
      <c r="DH49" s="113"/>
      <c r="DI49" s="105"/>
      <c r="DJ49" s="146"/>
      <c r="DK49" s="105"/>
      <c r="DL49" s="105"/>
      <c r="DM49" s="112"/>
      <c r="DN49" s="113"/>
      <c r="DO49" s="105"/>
      <c r="DP49" s="113"/>
      <c r="DQ49" s="113"/>
      <c r="DR49" s="105"/>
      <c r="DS49" s="113"/>
      <c r="DT49" s="113"/>
      <c r="DU49" s="112"/>
      <c r="DV49" s="113"/>
      <c r="DW49" s="105"/>
      <c r="DX49" s="146"/>
      <c r="DY49" s="105"/>
      <c r="DZ49" s="105"/>
      <c r="EA49" s="112"/>
      <c r="EB49" s="113"/>
      <c r="EC49" s="105"/>
      <c r="ED49" s="113"/>
      <c r="EE49" s="113"/>
      <c r="EF49" s="105"/>
      <c r="EG49" s="113"/>
      <c r="EH49" s="113"/>
      <c r="EI49" s="112"/>
      <c r="EJ49" s="113"/>
      <c r="EK49" s="105"/>
      <c r="EL49" s="146"/>
      <c r="EM49" s="72"/>
      <c r="EN49" s="74"/>
      <c r="EO49" s="73"/>
      <c r="EP49" s="72"/>
      <c r="EQ49" s="72"/>
      <c r="ER49" s="75"/>
      <c r="ES49" s="76"/>
      <c r="ET49" s="77"/>
      <c r="EU49" s="77"/>
      <c r="EV49" s="78"/>
      <c r="EW49" s="72" t="s">
        <v>113</v>
      </c>
      <c r="EX49" s="72" t="s">
        <v>113</v>
      </c>
      <c r="EY49" s="72" t="s">
        <v>100</v>
      </c>
      <c r="EZ49" s="72" t="s">
        <v>114</v>
      </c>
      <c r="FA49" s="72"/>
      <c r="FB49" s="78"/>
      <c r="FC49" s="78"/>
      <c r="FD49" s="146"/>
      <c r="FE49" s="78"/>
      <c r="FF49" s="78"/>
      <c r="FG49" s="78"/>
      <c r="FH49" s="78"/>
      <c r="FI49" s="78"/>
      <c r="FJ49" s="78"/>
      <c r="FK49" s="78"/>
      <c r="FL49" s="78"/>
      <c r="FM49" s="78"/>
      <c r="FN49" s="78"/>
      <c r="FO49" s="146"/>
      <c r="FP49" s="78"/>
      <c r="FQ49" s="78"/>
      <c r="FR49" s="78"/>
      <c r="FS49" s="78"/>
      <c r="FT49" s="78"/>
      <c r="FU49" s="78"/>
      <c r="FV49" s="78"/>
      <c r="FW49" s="78"/>
      <c r="FX49" s="78"/>
      <c r="FY49" s="78"/>
    </row>
    <row r="50" spans="1:181" s="71" customFormat="1" ht="16.350000000000001" customHeight="1" x14ac:dyDescent="0.25">
      <c r="A50" s="109"/>
      <c r="B50" s="70"/>
      <c r="C50" s="110"/>
      <c r="D50" s="110">
        <v>1</v>
      </c>
      <c r="E50" s="146"/>
      <c r="F50" s="109" t="str">
        <f>mehrsprachigkeitBegriffsrückgabe(gewählteSpracheZurückgeben(), "Variant")</f>
        <v>Variante</v>
      </c>
      <c r="G50" s="111" t="s">
        <v>224</v>
      </c>
      <c r="H50" s="111"/>
      <c r="I50" s="111" t="s">
        <v>86</v>
      </c>
      <c r="J50" s="111" t="s">
        <v>513</v>
      </c>
      <c r="K50" s="111"/>
      <c r="L50" s="146"/>
      <c r="M50" s="149" t="s">
        <v>481</v>
      </c>
      <c r="N50" s="111" t="s">
        <v>482</v>
      </c>
      <c r="O50" s="114" t="s">
        <v>486</v>
      </c>
      <c r="P50" s="114" t="s">
        <v>494</v>
      </c>
      <c r="Q50" s="111"/>
      <c r="R50" s="111"/>
      <c r="S50" s="111"/>
      <c r="T50" s="111"/>
      <c r="U50" s="111"/>
      <c r="V50" s="111"/>
      <c r="W50" s="111"/>
      <c r="X50" s="111"/>
      <c r="Y50" s="111"/>
      <c r="Z50" s="111"/>
      <c r="AA50" s="111"/>
      <c r="AB50" s="111"/>
      <c r="AC50" s="111"/>
      <c r="AD50" s="111"/>
      <c r="AE50" s="111"/>
      <c r="AF50" s="111"/>
      <c r="AG50" s="111"/>
      <c r="AH50" s="111"/>
      <c r="AI50" s="111"/>
      <c r="AJ50" s="111"/>
      <c r="AK50" s="111"/>
      <c r="AL50" s="111"/>
      <c r="AM50" s="111"/>
      <c r="AN50" s="111"/>
      <c r="AO50" s="111"/>
      <c r="AP50" s="111"/>
      <c r="AQ50" s="111"/>
      <c r="AR50" s="111"/>
      <c r="AS50" s="111"/>
      <c r="AT50" s="111"/>
      <c r="AU50" s="111"/>
      <c r="AV50" s="111"/>
      <c r="AW50" s="111"/>
      <c r="AX50" s="111"/>
      <c r="AY50" s="111"/>
      <c r="AZ50" s="111"/>
      <c r="BA50" s="146"/>
      <c r="BB50" s="104"/>
      <c r="BC50" s="72"/>
      <c r="BD50" s="72"/>
      <c r="BE50" s="72"/>
      <c r="BF50" s="146"/>
      <c r="BG50" s="112"/>
      <c r="BH50" s="113" t="str">
        <f>mehrsprachigkeitBegriffsrückgabe(gewählteSpracheZurückgeben(), "Independent price")</f>
        <v>Eigenständiger Preis</v>
      </c>
      <c r="BI50" s="146"/>
      <c r="BJ50" s="105"/>
      <c r="BK50" s="113"/>
      <c r="BL50" s="113"/>
      <c r="BM50" s="105"/>
      <c r="BN50" s="113"/>
      <c r="BO50" s="152"/>
      <c r="BP50" s="146"/>
      <c r="BQ50" s="112"/>
      <c r="BR50" s="113"/>
      <c r="BS50" s="105"/>
      <c r="BT50" s="146"/>
      <c r="BU50" s="105"/>
      <c r="BV50" s="105"/>
      <c r="BW50" s="112"/>
      <c r="BX50" s="113"/>
      <c r="BY50" s="105"/>
      <c r="BZ50" s="113"/>
      <c r="CA50" s="113"/>
      <c r="CB50" s="105"/>
      <c r="CC50" s="113"/>
      <c r="CD50" s="152"/>
      <c r="CE50" s="112"/>
      <c r="CF50" s="113"/>
      <c r="CG50" s="105"/>
      <c r="CH50" s="146"/>
      <c r="CI50" s="105"/>
      <c r="CJ50" s="105"/>
      <c r="CK50" s="112"/>
      <c r="CL50" s="113"/>
      <c r="CM50" s="105"/>
      <c r="CN50" s="152"/>
      <c r="CO50" s="152"/>
      <c r="CP50" s="105"/>
      <c r="CQ50" s="113"/>
      <c r="CR50" s="152"/>
      <c r="CS50" s="112"/>
      <c r="CT50" s="113"/>
      <c r="CU50" s="105"/>
      <c r="CV50" s="146"/>
      <c r="CW50" s="105"/>
      <c r="CX50" s="105"/>
      <c r="CY50" s="112"/>
      <c r="CZ50" s="113"/>
      <c r="DA50" s="105"/>
      <c r="DB50" s="113"/>
      <c r="DC50" s="113"/>
      <c r="DD50" s="105"/>
      <c r="DE50" s="113"/>
      <c r="DF50" s="113"/>
      <c r="DG50" s="112"/>
      <c r="DH50" s="113"/>
      <c r="DI50" s="105"/>
      <c r="DJ50" s="146"/>
      <c r="DK50" s="105"/>
      <c r="DL50" s="105"/>
      <c r="DM50" s="112"/>
      <c r="DN50" s="113"/>
      <c r="DO50" s="105"/>
      <c r="DP50" s="113"/>
      <c r="DQ50" s="113"/>
      <c r="DR50" s="105"/>
      <c r="DS50" s="113"/>
      <c r="DT50" s="113"/>
      <c r="DU50" s="112"/>
      <c r="DV50" s="113"/>
      <c r="DW50" s="105"/>
      <c r="DX50" s="146"/>
      <c r="DY50" s="105"/>
      <c r="DZ50" s="105"/>
      <c r="EA50" s="112"/>
      <c r="EB50" s="113"/>
      <c r="EC50" s="105"/>
      <c r="ED50" s="113"/>
      <c r="EE50" s="113"/>
      <c r="EF50" s="105"/>
      <c r="EG50" s="113"/>
      <c r="EH50" s="113"/>
      <c r="EI50" s="112"/>
      <c r="EJ50" s="113"/>
      <c r="EK50" s="105"/>
      <c r="EL50" s="146"/>
      <c r="EM50" s="72"/>
      <c r="EN50" s="74"/>
      <c r="EO50" s="73"/>
      <c r="EP50" s="72"/>
      <c r="EQ50" s="72"/>
      <c r="ER50" s="75"/>
      <c r="ES50" s="76"/>
      <c r="ET50" s="77"/>
      <c r="EU50" s="77"/>
      <c r="EV50" s="78"/>
      <c r="EW50" s="72" t="s">
        <v>113</v>
      </c>
      <c r="EX50" s="72" t="s">
        <v>113</v>
      </c>
      <c r="EY50" s="72" t="s">
        <v>100</v>
      </c>
      <c r="EZ50" s="72" t="s">
        <v>114</v>
      </c>
      <c r="FA50" s="72"/>
      <c r="FB50" s="78"/>
      <c r="FC50" s="78"/>
      <c r="FD50" s="146"/>
      <c r="FE50" s="78"/>
      <c r="FF50" s="78"/>
      <c r="FG50" s="78"/>
      <c r="FH50" s="78"/>
      <c r="FI50" s="78"/>
      <c r="FJ50" s="78"/>
      <c r="FK50" s="78"/>
      <c r="FL50" s="78"/>
      <c r="FM50" s="78"/>
      <c r="FN50" s="78"/>
      <c r="FO50" s="146"/>
      <c r="FP50" s="78"/>
      <c r="FQ50" s="78"/>
      <c r="FR50" s="78"/>
      <c r="FS50" s="78"/>
      <c r="FT50" s="78"/>
      <c r="FU50" s="78"/>
      <c r="FV50" s="78"/>
      <c r="FW50" s="78"/>
      <c r="FX50" s="78"/>
      <c r="FY50" s="78"/>
    </row>
    <row r="51" spans="1:181" s="71" customFormat="1" ht="16.350000000000001" customHeight="1" x14ac:dyDescent="0.25">
      <c r="A51" s="109"/>
      <c r="B51" s="70"/>
      <c r="C51" s="110"/>
      <c r="D51" s="110">
        <v>1</v>
      </c>
      <c r="E51" s="146"/>
      <c r="F51" s="109" t="str">
        <f>mehrsprachigkeitBegriffsrückgabe(gewählteSpracheZurückgeben(), "Variant")</f>
        <v>Variante</v>
      </c>
      <c r="G51" s="111" t="s">
        <v>224</v>
      </c>
      <c r="H51" s="111"/>
      <c r="I51" s="111" t="s">
        <v>86</v>
      </c>
      <c r="J51" s="111" t="s">
        <v>513</v>
      </c>
      <c r="K51" s="111"/>
      <c r="L51" s="146"/>
      <c r="M51" s="149" t="s">
        <v>481</v>
      </c>
      <c r="N51" s="111" t="s">
        <v>482</v>
      </c>
      <c r="O51" s="114" t="s">
        <v>486</v>
      </c>
      <c r="P51" s="114" t="s">
        <v>496</v>
      </c>
      <c r="Q51" s="111"/>
      <c r="R51" s="111"/>
      <c r="S51" s="111"/>
      <c r="T51" s="111"/>
      <c r="U51" s="111"/>
      <c r="V51" s="111"/>
      <c r="W51" s="111"/>
      <c r="X51" s="111"/>
      <c r="Y51" s="111"/>
      <c r="Z51" s="111"/>
      <c r="AA51" s="111"/>
      <c r="AB51" s="111"/>
      <c r="AC51" s="111"/>
      <c r="AD51" s="111"/>
      <c r="AE51" s="111"/>
      <c r="AF51" s="111"/>
      <c r="AG51" s="111"/>
      <c r="AH51" s="111"/>
      <c r="AI51" s="111"/>
      <c r="AJ51" s="111"/>
      <c r="AK51" s="111"/>
      <c r="AL51" s="111"/>
      <c r="AM51" s="111"/>
      <c r="AN51" s="111"/>
      <c r="AO51" s="111"/>
      <c r="AP51" s="111"/>
      <c r="AQ51" s="111"/>
      <c r="AR51" s="111"/>
      <c r="AS51" s="111"/>
      <c r="AT51" s="111"/>
      <c r="AU51" s="111"/>
      <c r="AV51" s="111"/>
      <c r="AW51" s="111"/>
      <c r="AX51" s="111"/>
      <c r="AY51" s="111"/>
      <c r="AZ51" s="111"/>
      <c r="BA51" s="146"/>
      <c r="BB51" s="104"/>
      <c r="BC51" s="72"/>
      <c r="BD51" s="72"/>
      <c r="BE51" s="72"/>
      <c r="BF51" s="146"/>
      <c r="BG51" s="112"/>
      <c r="BH51" s="113" t="str">
        <f>mehrsprachigkeitBegriffsrückgabe(gewählteSpracheZurückgeben(), "Independent price")</f>
        <v>Eigenständiger Preis</v>
      </c>
      <c r="BI51" s="146"/>
      <c r="BJ51" s="105"/>
      <c r="BK51" s="113"/>
      <c r="BL51" s="113"/>
      <c r="BM51" s="105"/>
      <c r="BN51" s="113"/>
      <c r="BO51" s="152"/>
      <c r="BP51" s="146"/>
      <c r="BQ51" s="112"/>
      <c r="BR51" s="113"/>
      <c r="BS51" s="105"/>
      <c r="BT51" s="146"/>
      <c r="BU51" s="105"/>
      <c r="BV51" s="105"/>
      <c r="BW51" s="112"/>
      <c r="BX51" s="113"/>
      <c r="BY51" s="105"/>
      <c r="BZ51" s="113"/>
      <c r="CA51" s="113"/>
      <c r="CB51" s="105"/>
      <c r="CC51" s="113"/>
      <c r="CD51" s="152"/>
      <c r="CE51" s="112"/>
      <c r="CF51" s="113"/>
      <c r="CG51" s="105"/>
      <c r="CH51" s="146"/>
      <c r="CI51" s="105"/>
      <c r="CJ51" s="105"/>
      <c r="CK51" s="112"/>
      <c r="CL51" s="113"/>
      <c r="CM51" s="105"/>
      <c r="CN51" s="152"/>
      <c r="CO51" s="152"/>
      <c r="CP51" s="105"/>
      <c r="CQ51" s="113"/>
      <c r="CR51" s="152"/>
      <c r="CS51" s="112"/>
      <c r="CT51" s="113"/>
      <c r="CU51" s="105"/>
      <c r="CV51" s="146"/>
      <c r="CW51" s="105"/>
      <c r="CX51" s="105"/>
      <c r="CY51" s="112"/>
      <c r="CZ51" s="113"/>
      <c r="DA51" s="105"/>
      <c r="DB51" s="113"/>
      <c r="DC51" s="113"/>
      <c r="DD51" s="105"/>
      <c r="DE51" s="113"/>
      <c r="DF51" s="113"/>
      <c r="DG51" s="112"/>
      <c r="DH51" s="113"/>
      <c r="DI51" s="105"/>
      <c r="DJ51" s="146"/>
      <c r="DK51" s="105"/>
      <c r="DL51" s="105"/>
      <c r="DM51" s="112"/>
      <c r="DN51" s="113"/>
      <c r="DO51" s="105"/>
      <c r="DP51" s="113"/>
      <c r="DQ51" s="113"/>
      <c r="DR51" s="105"/>
      <c r="DS51" s="113"/>
      <c r="DT51" s="113"/>
      <c r="DU51" s="112"/>
      <c r="DV51" s="113"/>
      <c r="DW51" s="105"/>
      <c r="DX51" s="146"/>
      <c r="DY51" s="105"/>
      <c r="DZ51" s="105"/>
      <c r="EA51" s="112"/>
      <c r="EB51" s="113"/>
      <c r="EC51" s="105"/>
      <c r="ED51" s="113"/>
      <c r="EE51" s="113"/>
      <c r="EF51" s="105"/>
      <c r="EG51" s="113"/>
      <c r="EH51" s="113"/>
      <c r="EI51" s="112"/>
      <c r="EJ51" s="113"/>
      <c r="EK51" s="105"/>
      <c r="EL51" s="146"/>
      <c r="EM51" s="72"/>
      <c r="EN51" s="74"/>
      <c r="EO51" s="73"/>
      <c r="EP51" s="72"/>
      <c r="EQ51" s="72"/>
      <c r="ER51" s="75"/>
      <c r="ES51" s="76"/>
      <c r="ET51" s="77"/>
      <c r="EU51" s="77"/>
      <c r="EV51" s="78"/>
      <c r="EW51" s="72" t="s">
        <v>113</v>
      </c>
      <c r="EX51" s="72" t="s">
        <v>113</v>
      </c>
      <c r="EY51" s="72" t="s">
        <v>100</v>
      </c>
      <c r="EZ51" s="72" t="s">
        <v>114</v>
      </c>
      <c r="FA51" s="72"/>
      <c r="FB51" s="78"/>
      <c r="FC51" s="78"/>
      <c r="FD51" s="146"/>
      <c r="FE51" s="78"/>
      <c r="FF51" s="78"/>
      <c r="FG51" s="78"/>
      <c r="FH51" s="78"/>
      <c r="FI51" s="78"/>
      <c r="FJ51" s="78"/>
      <c r="FK51" s="78"/>
      <c r="FL51" s="78"/>
      <c r="FM51" s="78"/>
      <c r="FN51" s="78"/>
      <c r="FO51" s="146"/>
      <c r="FP51" s="78"/>
      <c r="FQ51" s="78"/>
      <c r="FR51" s="78"/>
      <c r="FS51" s="78"/>
      <c r="FT51" s="78"/>
      <c r="FU51" s="78"/>
      <c r="FV51" s="78"/>
      <c r="FW51" s="78"/>
      <c r="FX51" s="78"/>
      <c r="FY51" s="78"/>
    </row>
    <row r="52" spans="1:181" s="71" customFormat="1" ht="16.350000000000001" customHeight="1" x14ac:dyDescent="0.25">
      <c r="A52" s="109"/>
      <c r="B52" s="70"/>
      <c r="C52" s="110"/>
      <c r="D52" s="110">
        <v>1</v>
      </c>
      <c r="E52" s="146"/>
      <c r="F52" s="109" t="str">
        <f>mehrsprachigkeitBegriffsrückgabe(gewählteSpracheZurückgeben(), "Variant")</f>
        <v>Variante</v>
      </c>
      <c r="G52" s="111" t="s">
        <v>224</v>
      </c>
      <c r="H52" s="111"/>
      <c r="I52" s="111" t="s">
        <v>86</v>
      </c>
      <c r="J52" s="111" t="s">
        <v>513</v>
      </c>
      <c r="K52" s="111"/>
      <c r="L52" s="146"/>
      <c r="M52" s="149" t="s">
        <v>481</v>
      </c>
      <c r="N52" s="111" t="s">
        <v>482</v>
      </c>
      <c r="O52" s="114" t="s">
        <v>486</v>
      </c>
      <c r="P52" s="114" t="s">
        <v>498</v>
      </c>
      <c r="Q52" s="111"/>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c r="AO52" s="111"/>
      <c r="AP52" s="111"/>
      <c r="AQ52" s="111"/>
      <c r="AR52" s="111"/>
      <c r="AS52" s="111"/>
      <c r="AT52" s="111"/>
      <c r="AU52" s="111"/>
      <c r="AV52" s="111"/>
      <c r="AW52" s="111"/>
      <c r="AX52" s="111"/>
      <c r="AY52" s="111"/>
      <c r="AZ52" s="111"/>
      <c r="BA52" s="146"/>
      <c r="BB52" s="104"/>
      <c r="BC52" s="72"/>
      <c r="BD52" s="72"/>
      <c r="BE52" s="72"/>
      <c r="BF52" s="146"/>
      <c r="BG52" s="112"/>
      <c r="BH52" s="113" t="str">
        <f>mehrsprachigkeitBegriffsrückgabe(gewählteSpracheZurückgeben(), "Independent price")</f>
        <v>Eigenständiger Preis</v>
      </c>
      <c r="BI52" s="146"/>
      <c r="BJ52" s="105"/>
      <c r="BK52" s="113"/>
      <c r="BL52" s="113"/>
      <c r="BM52" s="105"/>
      <c r="BN52" s="113"/>
      <c r="BO52" s="152"/>
      <c r="BP52" s="146"/>
      <c r="BQ52" s="112"/>
      <c r="BR52" s="113"/>
      <c r="BS52" s="105"/>
      <c r="BT52" s="146"/>
      <c r="BU52" s="105"/>
      <c r="BV52" s="105"/>
      <c r="BW52" s="112"/>
      <c r="BX52" s="113"/>
      <c r="BY52" s="105"/>
      <c r="BZ52" s="113"/>
      <c r="CA52" s="113"/>
      <c r="CB52" s="105"/>
      <c r="CC52" s="113"/>
      <c r="CD52" s="152"/>
      <c r="CE52" s="112"/>
      <c r="CF52" s="113"/>
      <c r="CG52" s="105"/>
      <c r="CH52" s="146"/>
      <c r="CI52" s="105"/>
      <c r="CJ52" s="105"/>
      <c r="CK52" s="112"/>
      <c r="CL52" s="113"/>
      <c r="CM52" s="105"/>
      <c r="CN52" s="152"/>
      <c r="CO52" s="152"/>
      <c r="CP52" s="105"/>
      <c r="CQ52" s="113"/>
      <c r="CR52" s="152"/>
      <c r="CS52" s="112"/>
      <c r="CT52" s="113"/>
      <c r="CU52" s="105"/>
      <c r="CV52" s="146"/>
      <c r="CW52" s="105"/>
      <c r="CX52" s="105"/>
      <c r="CY52" s="112"/>
      <c r="CZ52" s="113"/>
      <c r="DA52" s="105"/>
      <c r="DB52" s="113"/>
      <c r="DC52" s="113"/>
      <c r="DD52" s="105"/>
      <c r="DE52" s="113"/>
      <c r="DF52" s="113"/>
      <c r="DG52" s="112"/>
      <c r="DH52" s="113"/>
      <c r="DI52" s="105"/>
      <c r="DJ52" s="146"/>
      <c r="DK52" s="105"/>
      <c r="DL52" s="105"/>
      <c r="DM52" s="112"/>
      <c r="DN52" s="113"/>
      <c r="DO52" s="105"/>
      <c r="DP52" s="113"/>
      <c r="DQ52" s="113"/>
      <c r="DR52" s="105"/>
      <c r="DS52" s="113"/>
      <c r="DT52" s="113"/>
      <c r="DU52" s="112"/>
      <c r="DV52" s="113"/>
      <c r="DW52" s="105"/>
      <c r="DX52" s="146"/>
      <c r="DY52" s="105"/>
      <c r="DZ52" s="105"/>
      <c r="EA52" s="112"/>
      <c r="EB52" s="113"/>
      <c r="EC52" s="105"/>
      <c r="ED52" s="113"/>
      <c r="EE52" s="113"/>
      <c r="EF52" s="105"/>
      <c r="EG52" s="113"/>
      <c r="EH52" s="113"/>
      <c r="EI52" s="112"/>
      <c r="EJ52" s="113"/>
      <c r="EK52" s="105"/>
      <c r="EL52" s="146"/>
      <c r="EM52" s="72"/>
      <c r="EN52" s="74"/>
      <c r="EO52" s="73"/>
      <c r="EP52" s="72"/>
      <c r="EQ52" s="72"/>
      <c r="ER52" s="75"/>
      <c r="ES52" s="76"/>
      <c r="ET52" s="77"/>
      <c r="EU52" s="77"/>
      <c r="EV52" s="78"/>
      <c r="EW52" s="72" t="s">
        <v>113</v>
      </c>
      <c r="EX52" s="72" t="s">
        <v>113</v>
      </c>
      <c r="EY52" s="72" t="s">
        <v>100</v>
      </c>
      <c r="EZ52" s="72" t="s">
        <v>114</v>
      </c>
      <c r="FA52" s="72"/>
      <c r="FB52" s="78"/>
      <c r="FC52" s="78"/>
      <c r="FD52" s="146"/>
      <c r="FE52" s="78"/>
      <c r="FF52" s="78"/>
      <c r="FG52" s="78"/>
      <c r="FH52" s="78"/>
      <c r="FI52" s="78"/>
      <c r="FJ52" s="78"/>
      <c r="FK52" s="78"/>
      <c r="FL52" s="78"/>
      <c r="FM52" s="78"/>
      <c r="FN52" s="78"/>
      <c r="FO52" s="146"/>
      <c r="FP52" s="78"/>
      <c r="FQ52" s="78"/>
      <c r="FR52" s="78"/>
      <c r="FS52" s="78"/>
      <c r="FT52" s="78"/>
      <c r="FU52" s="78"/>
      <c r="FV52" s="78"/>
      <c r="FW52" s="78"/>
      <c r="FX52" s="78"/>
      <c r="FY52" s="78"/>
    </row>
    <row r="53" spans="1:181" s="71" customFormat="1" ht="16.350000000000001" customHeight="1" x14ac:dyDescent="0.25">
      <c r="A53" s="109"/>
      <c r="B53" s="70"/>
      <c r="C53" s="110"/>
      <c r="D53" s="110">
        <v>1</v>
      </c>
      <c r="E53" s="146"/>
      <c r="F53" s="109" t="str">
        <f>mehrsprachigkeitBegriffsrückgabe(gewählteSpracheZurückgeben(), "Variant")</f>
        <v>Variante</v>
      </c>
      <c r="G53" s="111" t="s">
        <v>224</v>
      </c>
      <c r="H53" s="111"/>
      <c r="I53" s="111" t="s">
        <v>86</v>
      </c>
      <c r="J53" s="111" t="s">
        <v>513</v>
      </c>
      <c r="K53" s="111"/>
      <c r="L53" s="146"/>
      <c r="M53" s="149" t="s">
        <v>481</v>
      </c>
      <c r="N53" s="111" t="s">
        <v>482</v>
      </c>
      <c r="O53" s="114" t="s">
        <v>486</v>
      </c>
      <c r="P53" s="114" t="s">
        <v>499</v>
      </c>
      <c r="Q53" s="111"/>
      <c r="R53" s="111"/>
      <c r="S53" s="111"/>
      <c r="T53" s="111"/>
      <c r="U53" s="111"/>
      <c r="V53" s="111"/>
      <c r="W53" s="111"/>
      <c r="X53" s="111"/>
      <c r="Y53" s="111"/>
      <c r="Z53" s="111"/>
      <c r="AA53" s="111"/>
      <c r="AB53" s="111"/>
      <c r="AC53" s="111"/>
      <c r="AD53" s="111"/>
      <c r="AE53" s="111"/>
      <c r="AF53" s="111"/>
      <c r="AG53" s="111"/>
      <c r="AH53" s="111"/>
      <c r="AI53" s="111"/>
      <c r="AJ53" s="111"/>
      <c r="AK53" s="111"/>
      <c r="AL53" s="111"/>
      <c r="AM53" s="111"/>
      <c r="AN53" s="111"/>
      <c r="AO53" s="111"/>
      <c r="AP53" s="111"/>
      <c r="AQ53" s="111"/>
      <c r="AR53" s="111"/>
      <c r="AS53" s="111"/>
      <c r="AT53" s="111"/>
      <c r="AU53" s="111"/>
      <c r="AV53" s="111"/>
      <c r="AW53" s="111"/>
      <c r="AX53" s="111"/>
      <c r="AY53" s="111"/>
      <c r="AZ53" s="111"/>
      <c r="BA53" s="146"/>
      <c r="BB53" s="104"/>
      <c r="BC53" s="72"/>
      <c r="BD53" s="72"/>
      <c r="BE53" s="72"/>
      <c r="BF53" s="146"/>
      <c r="BG53" s="112"/>
      <c r="BH53" s="113" t="str">
        <f>mehrsprachigkeitBegriffsrückgabe(gewählteSpracheZurückgeben(), "Independent price")</f>
        <v>Eigenständiger Preis</v>
      </c>
      <c r="BI53" s="146"/>
      <c r="BJ53" s="105"/>
      <c r="BK53" s="113"/>
      <c r="BL53" s="113"/>
      <c r="BM53" s="105"/>
      <c r="BN53" s="113"/>
      <c r="BO53" s="152"/>
      <c r="BP53" s="146"/>
      <c r="BQ53" s="112"/>
      <c r="BR53" s="113"/>
      <c r="BS53" s="105"/>
      <c r="BT53" s="146"/>
      <c r="BU53" s="105"/>
      <c r="BV53" s="105"/>
      <c r="BW53" s="112"/>
      <c r="BX53" s="113"/>
      <c r="BY53" s="105"/>
      <c r="BZ53" s="113"/>
      <c r="CA53" s="113"/>
      <c r="CB53" s="105"/>
      <c r="CC53" s="113"/>
      <c r="CD53" s="152"/>
      <c r="CE53" s="112"/>
      <c r="CF53" s="113"/>
      <c r="CG53" s="105"/>
      <c r="CH53" s="146"/>
      <c r="CI53" s="105"/>
      <c r="CJ53" s="105"/>
      <c r="CK53" s="112"/>
      <c r="CL53" s="113"/>
      <c r="CM53" s="105"/>
      <c r="CN53" s="152"/>
      <c r="CO53" s="152"/>
      <c r="CP53" s="105"/>
      <c r="CQ53" s="113"/>
      <c r="CR53" s="152"/>
      <c r="CS53" s="112"/>
      <c r="CT53" s="113"/>
      <c r="CU53" s="105"/>
      <c r="CV53" s="146"/>
      <c r="CW53" s="105"/>
      <c r="CX53" s="105"/>
      <c r="CY53" s="112"/>
      <c r="CZ53" s="113"/>
      <c r="DA53" s="105"/>
      <c r="DB53" s="113"/>
      <c r="DC53" s="113"/>
      <c r="DD53" s="105"/>
      <c r="DE53" s="113"/>
      <c r="DF53" s="113"/>
      <c r="DG53" s="112"/>
      <c r="DH53" s="113"/>
      <c r="DI53" s="105"/>
      <c r="DJ53" s="146"/>
      <c r="DK53" s="105"/>
      <c r="DL53" s="105"/>
      <c r="DM53" s="112"/>
      <c r="DN53" s="113"/>
      <c r="DO53" s="105"/>
      <c r="DP53" s="113"/>
      <c r="DQ53" s="113"/>
      <c r="DR53" s="105"/>
      <c r="DS53" s="113"/>
      <c r="DT53" s="113"/>
      <c r="DU53" s="112"/>
      <c r="DV53" s="113"/>
      <c r="DW53" s="105"/>
      <c r="DX53" s="146"/>
      <c r="DY53" s="105"/>
      <c r="DZ53" s="105"/>
      <c r="EA53" s="112"/>
      <c r="EB53" s="113"/>
      <c r="EC53" s="105"/>
      <c r="ED53" s="113"/>
      <c r="EE53" s="113"/>
      <c r="EF53" s="105"/>
      <c r="EG53" s="113"/>
      <c r="EH53" s="113"/>
      <c r="EI53" s="112"/>
      <c r="EJ53" s="113"/>
      <c r="EK53" s="105"/>
      <c r="EL53" s="146"/>
      <c r="EM53" s="72"/>
      <c r="EN53" s="74"/>
      <c r="EO53" s="73"/>
      <c r="EP53" s="72"/>
      <c r="EQ53" s="72"/>
      <c r="ER53" s="75"/>
      <c r="ES53" s="76"/>
      <c r="ET53" s="77"/>
      <c r="EU53" s="77"/>
      <c r="EV53" s="78"/>
      <c r="EW53" s="72" t="s">
        <v>113</v>
      </c>
      <c r="EX53" s="72" t="s">
        <v>113</v>
      </c>
      <c r="EY53" s="72" t="s">
        <v>100</v>
      </c>
      <c r="EZ53" s="72" t="s">
        <v>114</v>
      </c>
      <c r="FA53" s="72"/>
      <c r="FB53" s="78"/>
      <c r="FC53" s="78"/>
      <c r="FD53" s="146"/>
      <c r="FE53" s="78"/>
      <c r="FF53" s="78"/>
      <c r="FG53" s="78"/>
      <c r="FH53" s="78"/>
      <c r="FI53" s="78"/>
      <c r="FJ53" s="78"/>
      <c r="FK53" s="78"/>
      <c r="FL53" s="78"/>
      <c r="FM53" s="78"/>
      <c r="FN53" s="78"/>
      <c r="FO53" s="146"/>
      <c r="FP53" s="78"/>
      <c r="FQ53" s="78"/>
      <c r="FR53" s="78"/>
      <c r="FS53" s="78"/>
      <c r="FT53" s="78"/>
      <c r="FU53" s="78"/>
      <c r="FV53" s="78"/>
      <c r="FW53" s="78"/>
      <c r="FX53" s="78"/>
      <c r="FY53" s="78"/>
    </row>
    <row r="54" spans="1:181" s="71" customFormat="1" ht="16.350000000000001" customHeight="1" x14ac:dyDescent="0.25">
      <c r="A54" s="109"/>
      <c r="B54" s="70"/>
      <c r="C54" s="110"/>
      <c r="D54" s="110">
        <v>1</v>
      </c>
      <c r="E54" s="146"/>
      <c r="F54" s="109" t="str">
        <f>mehrsprachigkeitBegriffsrückgabe(gewählteSpracheZurückgeben(), "Variant")</f>
        <v>Variante</v>
      </c>
      <c r="G54" s="111" t="s">
        <v>224</v>
      </c>
      <c r="H54" s="111"/>
      <c r="I54" s="111" t="s">
        <v>86</v>
      </c>
      <c r="J54" s="111" t="s">
        <v>513</v>
      </c>
      <c r="K54" s="111"/>
      <c r="L54" s="146"/>
      <c r="M54" s="149" t="s">
        <v>481</v>
      </c>
      <c r="N54" s="111" t="s">
        <v>482</v>
      </c>
      <c r="O54" s="114" t="s">
        <v>486</v>
      </c>
      <c r="P54" s="114" t="s">
        <v>500</v>
      </c>
      <c r="Q54" s="111"/>
      <c r="R54" s="111"/>
      <c r="S54" s="111"/>
      <c r="T54" s="111"/>
      <c r="U54" s="111"/>
      <c r="V54" s="111"/>
      <c r="W54" s="111"/>
      <c r="X54" s="111"/>
      <c r="Y54" s="111"/>
      <c r="Z54" s="111"/>
      <c r="AA54" s="111"/>
      <c r="AB54" s="111"/>
      <c r="AC54" s="111"/>
      <c r="AD54" s="111"/>
      <c r="AE54" s="111"/>
      <c r="AF54" s="111"/>
      <c r="AG54" s="111"/>
      <c r="AH54" s="111"/>
      <c r="AI54" s="111"/>
      <c r="AJ54" s="111"/>
      <c r="AK54" s="111"/>
      <c r="AL54" s="111"/>
      <c r="AM54" s="111"/>
      <c r="AN54" s="111"/>
      <c r="AO54" s="111"/>
      <c r="AP54" s="111"/>
      <c r="AQ54" s="111"/>
      <c r="AR54" s="111"/>
      <c r="AS54" s="111"/>
      <c r="AT54" s="111"/>
      <c r="AU54" s="111"/>
      <c r="AV54" s="111"/>
      <c r="AW54" s="111"/>
      <c r="AX54" s="111"/>
      <c r="AY54" s="111"/>
      <c r="AZ54" s="111"/>
      <c r="BA54" s="146"/>
      <c r="BB54" s="104"/>
      <c r="BC54" s="72"/>
      <c r="BD54" s="72"/>
      <c r="BE54" s="72"/>
      <c r="BF54" s="146"/>
      <c r="BG54" s="112"/>
      <c r="BH54" s="113" t="str">
        <f>mehrsprachigkeitBegriffsrückgabe(gewählteSpracheZurückgeben(), "Independent price")</f>
        <v>Eigenständiger Preis</v>
      </c>
      <c r="BI54" s="146"/>
      <c r="BJ54" s="105"/>
      <c r="BK54" s="113"/>
      <c r="BL54" s="113"/>
      <c r="BM54" s="105"/>
      <c r="BN54" s="113"/>
      <c r="BO54" s="152"/>
      <c r="BP54" s="146"/>
      <c r="BQ54" s="112"/>
      <c r="BR54" s="113"/>
      <c r="BS54" s="105"/>
      <c r="BT54" s="146"/>
      <c r="BU54" s="105"/>
      <c r="BV54" s="105"/>
      <c r="BW54" s="112"/>
      <c r="BX54" s="113"/>
      <c r="BY54" s="105"/>
      <c r="BZ54" s="113"/>
      <c r="CA54" s="113"/>
      <c r="CB54" s="105"/>
      <c r="CC54" s="113"/>
      <c r="CD54" s="152"/>
      <c r="CE54" s="112"/>
      <c r="CF54" s="113"/>
      <c r="CG54" s="105"/>
      <c r="CH54" s="146"/>
      <c r="CI54" s="105"/>
      <c r="CJ54" s="105"/>
      <c r="CK54" s="112"/>
      <c r="CL54" s="113"/>
      <c r="CM54" s="105"/>
      <c r="CN54" s="152"/>
      <c r="CO54" s="152"/>
      <c r="CP54" s="105"/>
      <c r="CQ54" s="113"/>
      <c r="CR54" s="152"/>
      <c r="CS54" s="112"/>
      <c r="CT54" s="113"/>
      <c r="CU54" s="105"/>
      <c r="CV54" s="146"/>
      <c r="CW54" s="105"/>
      <c r="CX54" s="105"/>
      <c r="CY54" s="112"/>
      <c r="CZ54" s="113"/>
      <c r="DA54" s="105"/>
      <c r="DB54" s="113"/>
      <c r="DC54" s="113"/>
      <c r="DD54" s="105"/>
      <c r="DE54" s="113"/>
      <c r="DF54" s="113"/>
      <c r="DG54" s="112"/>
      <c r="DH54" s="113"/>
      <c r="DI54" s="105"/>
      <c r="DJ54" s="146"/>
      <c r="DK54" s="105"/>
      <c r="DL54" s="105"/>
      <c r="DM54" s="112"/>
      <c r="DN54" s="113"/>
      <c r="DO54" s="105"/>
      <c r="DP54" s="113"/>
      <c r="DQ54" s="113"/>
      <c r="DR54" s="105"/>
      <c r="DS54" s="113"/>
      <c r="DT54" s="113"/>
      <c r="DU54" s="112"/>
      <c r="DV54" s="113"/>
      <c r="DW54" s="105"/>
      <c r="DX54" s="146"/>
      <c r="DY54" s="105"/>
      <c r="DZ54" s="105"/>
      <c r="EA54" s="112"/>
      <c r="EB54" s="113"/>
      <c r="EC54" s="105"/>
      <c r="ED54" s="113"/>
      <c r="EE54" s="113"/>
      <c r="EF54" s="105"/>
      <c r="EG54" s="113"/>
      <c r="EH54" s="113"/>
      <c r="EI54" s="112"/>
      <c r="EJ54" s="113"/>
      <c r="EK54" s="105"/>
      <c r="EL54" s="146"/>
      <c r="EM54" s="72"/>
      <c r="EN54" s="74"/>
      <c r="EO54" s="73"/>
      <c r="EP54" s="72"/>
      <c r="EQ54" s="72"/>
      <c r="ER54" s="75"/>
      <c r="ES54" s="76"/>
      <c r="ET54" s="77"/>
      <c r="EU54" s="77"/>
      <c r="EV54" s="78"/>
      <c r="EW54" s="72" t="s">
        <v>113</v>
      </c>
      <c r="EX54" s="72" t="s">
        <v>113</v>
      </c>
      <c r="EY54" s="72" t="s">
        <v>100</v>
      </c>
      <c r="EZ54" s="72" t="s">
        <v>114</v>
      </c>
      <c r="FA54" s="72"/>
      <c r="FB54" s="78"/>
      <c r="FC54" s="78"/>
      <c r="FD54" s="146"/>
      <c r="FE54" s="78"/>
      <c r="FF54" s="78"/>
      <c r="FG54" s="78"/>
      <c r="FH54" s="78"/>
      <c r="FI54" s="78"/>
      <c r="FJ54" s="78"/>
      <c r="FK54" s="78"/>
      <c r="FL54" s="78"/>
      <c r="FM54" s="78"/>
      <c r="FN54" s="78"/>
      <c r="FO54" s="146"/>
      <c r="FP54" s="78"/>
      <c r="FQ54" s="78"/>
      <c r="FR54" s="78"/>
      <c r="FS54" s="78"/>
      <c r="FT54" s="78"/>
      <c r="FU54" s="78"/>
      <c r="FV54" s="78"/>
      <c r="FW54" s="78"/>
      <c r="FX54" s="78"/>
      <c r="FY54" s="78"/>
    </row>
    <row r="55" spans="1:181" s="71" customFormat="1" ht="16.350000000000001" customHeight="1" x14ac:dyDescent="0.25">
      <c r="A55" s="109"/>
      <c r="B55" s="70"/>
      <c r="C55" s="110"/>
      <c r="D55" s="110">
        <v>1</v>
      </c>
      <c r="E55" s="146"/>
      <c r="F55" s="109" t="str">
        <f>mehrsprachigkeitBegriffsrückgabe(gewählteSpracheZurückgeben(), "Variant")</f>
        <v>Variante</v>
      </c>
      <c r="G55" s="111" t="s">
        <v>224</v>
      </c>
      <c r="H55" s="111"/>
      <c r="I55" s="111" t="s">
        <v>86</v>
      </c>
      <c r="J55" s="111" t="s">
        <v>513</v>
      </c>
      <c r="K55" s="111"/>
      <c r="L55" s="146"/>
      <c r="M55" s="149" t="s">
        <v>481</v>
      </c>
      <c r="N55" s="111" t="s">
        <v>482</v>
      </c>
      <c r="O55" s="114" t="s">
        <v>486</v>
      </c>
      <c r="P55" s="114" t="s">
        <v>501</v>
      </c>
      <c r="Q55" s="111"/>
      <c r="R55" s="111"/>
      <c r="S55" s="111"/>
      <c r="T55" s="111"/>
      <c r="U55" s="111"/>
      <c r="V55" s="111"/>
      <c r="W55" s="111"/>
      <c r="X55" s="111"/>
      <c r="Y55" s="111"/>
      <c r="Z55" s="111"/>
      <c r="AA55" s="111"/>
      <c r="AB55" s="111"/>
      <c r="AC55" s="111"/>
      <c r="AD55" s="111"/>
      <c r="AE55" s="111"/>
      <c r="AF55" s="111"/>
      <c r="AG55" s="111"/>
      <c r="AH55" s="111"/>
      <c r="AI55" s="111"/>
      <c r="AJ55" s="111"/>
      <c r="AK55" s="111"/>
      <c r="AL55" s="111"/>
      <c r="AM55" s="111"/>
      <c r="AN55" s="111"/>
      <c r="AO55" s="111"/>
      <c r="AP55" s="111"/>
      <c r="AQ55" s="111"/>
      <c r="AR55" s="111"/>
      <c r="AS55" s="111"/>
      <c r="AT55" s="111"/>
      <c r="AU55" s="111"/>
      <c r="AV55" s="111"/>
      <c r="AW55" s="111"/>
      <c r="AX55" s="111"/>
      <c r="AY55" s="111"/>
      <c r="AZ55" s="111"/>
      <c r="BA55" s="146"/>
      <c r="BB55" s="104"/>
      <c r="BC55" s="72"/>
      <c r="BD55" s="72"/>
      <c r="BE55" s="72"/>
      <c r="BF55" s="146"/>
      <c r="BG55" s="112"/>
      <c r="BH55" s="113" t="str">
        <f>mehrsprachigkeitBegriffsrückgabe(gewählteSpracheZurückgeben(), "Independent price")</f>
        <v>Eigenständiger Preis</v>
      </c>
      <c r="BI55" s="146"/>
      <c r="BJ55" s="105"/>
      <c r="BK55" s="113"/>
      <c r="BL55" s="113"/>
      <c r="BM55" s="105"/>
      <c r="BN55" s="113"/>
      <c r="BO55" s="152"/>
      <c r="BP55" s="146"/>
      <c r="BQ55" s="112"/>
      <c r="BR55" s="113"/>
      <c r="BS55" s="105"/>
      <c r="BT55" s="146"/>
      <c r="BU55" s="105"/>
      <c r="BV55" s="105"/>
      <c r="BW55" s="112"/>
      <c r="BX55" s="113"/>
      <c r="BY55" s="105"/>
      <c r="BZ55" s="113"/>
      <c r="CA55" s="113"/>
      <c r="CB55" s="105"/>
      <c r="CC55" s="113"/>
      <c r="CD55" s="152"/>
      <c r="CE55" s="112"/>
      <c r="CF55" s="113"/>
      <c r="CG55" s="105"/>
      <c r="CH55" s="146"/>
      <c r="CI55" s="105"/>
      <c r="CJ55" s="105"/>
      <c r="CK55" s="112"/>
      <c r="CL55" s="113"/>
      <c r="CM55" s="105"/>
      <c r="CN55" s="152"/>
      <c r="CO55" s="152"/>
      <c r="CP55" s="105"/>
      <c r="CQ55" s="113"/>
      <c r="CR55" s="152"/>
      <c r="CS55" s="112"/>
      <c r="CT55" s="113"/>
      <c r="CU55" s="105"/>
      <c r="CV55" s="146"/>
      <c r="CW55" s="105"/>
      <c r="CX55" s="105"/>
      <c r="CY55" s="112"/>
      <c r="CZ55" s="113"/>
      <c r="DA55" s="105"/>
      <c r="DB55" s="113"/>
      <c r="DC55" s="113"/>
      <c r="DD55" s="105"/>
      <c r="DE55" s="113"/>
      <c r="DF55" s="113"/>
      <c r="DG55" s="112"/>
      <c r="DH55" s="113"/>
      <c r="DI55" s="105"/>
      <c r="DJ55" s="146"/>
      <c r="DK55" s="105"/>
      <c r="DL55" s="105"/>
      <c r="DM55" s="112"/>
      <c r="DN55" s="113"/>
      <c r="DO55" s="105"/>
      <c r="DP55" s="113"/>
      <c r="DQ55" s="113"/>
      <c r="DR55" s="105"/>
      <c r="DS55" s="113"/>
      <c r="DT55" s="113"/>
      <c r="DU55" s="112"/>
      <c r="DV55" s="113"/>
      <c r="DW55" s="105"/>
      <c r="DX55" s="146"/>
      <c r="DY55" s="105"/>
      <c r="DZ55" s="105"/>
      <c r="EA55" s="112"/>
      <c r="EB55" s="113"/>
      <c r="EC55" s="105"/>
      <c r="ED55" s="113"/>
      <c r="EE55" s="113"/>
      <c r="EF55" s="105"/>
      <c r="EG55" s="113"/>
      <c r="EH55" s="113"/>
      <c r="EI55" s="112"/>
      <c r="EJ55" s="113"/>
      <c r="EK55" s="105"/>
      <c r="EL55" s="146"/>
      <c r="EM55" s="72"/>
      <c r="EN55" s="74"/>
      <c r="EO55" s="73"/>
      <c r="EP55" s="72"/>
      <c r="EQ55" s="72"/>
      <c r="ER55" s="75"/>
      <c r="ES55" s="76"/>
      <c r="ET55" s="77"/>
      <c r="EU55" s="77"/>
      <c r="EV55" s="78"/>
      <c r="EW55" s="72" t="s">
        <v>113</v>
      </c>
      <c r="EX55" s="72" t="s">
        <v>113</v>
      </c>
      <c r="EY55" s="72" t="s">
        <v>100</v>
      </c>
      <c r="EZ55" s="72" t="s">
        <v>114</v>
      </c>
      <c r="FA55" s="72"/>
      <c r="FB55" s="78"/>
      <c r="FC55" s="78"/>
      <c r="FD55" s="146"/>
      <c r="FE55" s="78"/>
      <c r="FF55" s="78"/>
      <c r="FG55" s="78"/>
      <c r="FH55" s="78"/>
      <c r="FI55" s="78"/>
      <c r="FJ55" s="78"/>
      <c r="FK55" s="78"/>
      <c r="FL55" s="78"/>
      <c r="FM55" s="78"/>
      <c r="FN55" s="78"/>
      <c r="FO55" s="146"/>
      <c r="FP55" s="78"/>
      <c r="FQ55" s="78"/>
      <c r="FR55" s="78"/>
      <c r="FS55" s="78"/>
      <c r="FT55" s="78"/>
      <c r="FU55" s="78"/>
      <c r="FV55" s="78"/>
      <c r="FW55" s="78"/>
      <c r="FX55" s="78"/>
      <c r="FY55" s="78"/>
    </row>
    <row r="56" spans="1:181" s="71" customFormat="1" ht="16.350000000000001" customHeight="1" x14ac:dyDescent="0.25">
      <c r="A56" s="109"/>
      <c r="B56" s="70"/>
      <c r="C56" s="110"/>
      <c r="D56" s="110">
        <v>1</v>
      </c>
      <c r="E56" s="146"/>
      <c r="F56" s="109" t="str">
        <f>mehrsprachigkeitBegriffsrückgabe(gewählteSpracheZurückgeben(), "Variant")</f>
        <v>Variante</v>
      </c>
      <c r="G56" s="111" t="s">
        <v>224</v>
      </c>
      <c r="H56" s="111"/>
      <c r="I56" s="111" t="s">
        <v>86</v>
      </c>
      <c r="J56" s="111" t="s">
        <v>513</v>
      </c>
      <c r="K56" s="111"/>
      <c r="L56" s="146"/>
      <c r="M56" s="149" t="s">
        <v>481</v>
      </c>
      <c r="N56" s="111" t="s">
        <v>482</v>
      </c>
      <c r="O56" s="114" t="s">
        <v>486</v>
      </c>
      <c r="P56" s="114" t="s">
        <v>502</v>
      </c>
      <c r="Q56" s="111"/>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11"/>
      <c r="AR56" s="111"/>
      <c r="AS56" s="111"/>
      <c r="AT56" s="111"/>
      <c r="AU56" s="111"/>
      <c r="AV56" s="111"/>
      <c r="AW56" s="111"/>
      <c r="AX56" s="111"/>
      <c r="AY56" s="111"/>
      <c r="AZ56" s="111"/>
      <c r="BA56" s="146"/>
      <c r="BB56" s="104"/>
      <c r="BC56" s="72"/>
      <c r="BD56" s="72"/>
      <c r="BE56" s="72"/>
      <c r="BF56" s="146"/>
      <c r="BG56" s="112"/>
      <c r="BH56" s="113" t="str">
        <f>mehrsprachigkeitBegriffsrückgabe(gewählteSpracheZurückgeben(), "Independent price")</f>
        <v>Eigenständiger Preis</v>
      </c>
      <c r="BI56" s="146"/>
      <c r="BJ56" s="105"/>
      <c r="BK56" s="113"/>
      <c r="BL56" s="113"/>
      <c r="BM56" s="105"/>
      <c r="BN56" s="113"/>
      <c r="BO56" s="152"/>
      <c r="BP56" s="146"/>
      <c r="BQ56" s="112"/>
      <c r="BR56" s="113"/>
      <c r="BS56" s="105"/>
      <c r="BT56" s="146"/>
      <c r="BU56" s="105"/>
      <c r="BV56" s="105"/>
      <c r="BW56" s="112"/>
      <c r="BX56" s="113"/>
      <c r="BY56" s="105"/>
      <c r="BZ56" s="113"/>
      <c r="CA56" s="113"/>
      <c r="CB56" s="105"/>
      <c r="CC56" s="113"/>
      <c r="CD56" s="152"/>
      <c r="CE56" s="112"/>
      <c r="CF56" s="113"/>
      <c r="CG56" s="105"/>
      <c r="CH56" s="146"/>
      <c r="CI56" s="105"/>
      <c r="CJ56" s="105"/>
      <c r="CK56" s="112"/>
      <c r="CL56" s="113"/>
      <c r="CM56" s="105"/>
      <c r="CN56" s="152"/>
      <c r="CO56" s="152"/>
      <c r="CP56" s="105"/>
      <c r="CQ56" s="113"/>
      <c r="CR56" s="152"/>
      <c r="CS56" s="112"/>
      <c r="CT56" s="113"/>
      <c r="CU56" s="105"/>
      <c r="CV56" s="146"/>
      <c r="CW56" s="105"/>
      <c r="CX56" s="105"/>
      <c r="CY56" s="112"/>
      <c r="CZ56" s="113"/>
      <c r="DA56" s="105"/>
      <c r="DB56" s="113"/>
      <c r="DC56" s="113"/>
      <c r="DD56" s="105"/>
      <c r="DE56" s="113"/>
      <c r="DF56" s="113"/>
      <c r="DG56" s="112"/>
      <c r="DH56" s="113"/>
      <c r="DI56" s="105"/>
      <c r="DJ56" s="146"/>
      <c r="DK56" s="105"/>
      <c r="DL56" s="105"/>
      <c r="DM56" s="112"/>
      <c r="DN56" s="113"/>
      <c r="DO56" s="105"/>
      <c r="DP56" s="113"/>
      <c r="DQ56" s="113"/>
      <c r="DR56" s="105"/>
      <c r="DS56" s="113"/>
      <c r="DT56" s="113"/>
      <c r="DU56" s="112"/>
      <c r="DV56" s="113"/>
      <c r="DW56" s="105"/>
      <c r="DX56" s="146"/>
      <c r="DY56" s="105"/>
      <c r="DZ56" s="105"/>
      <c r="EA56" s="112"/>
      <c r="EB56" s="113"/>
      <c r="EC56" s="105"/>
      <c r="ED56" s="113"/>
      <c r="EE56" s="113"/>
      <c r="EF56" s="105"/>
      <c r="EG56" s="113"/>
      <c r="EH56" s="113"/>
      <c r="EI56" s="112"/>
      <c r="EJ56" s="113"/>
      <c r="EK56" s="105"/>
      <c r="EL56" s="146"/>
      <c r="EM56" s="72"/>
      <c r="EN56" s="74"/>
      <c r="EO56" s="73"/>
      <c r="EP56" s="72"/>
      <c r="EQ56" s="72"/>
      <c r="ER56" s="75"/>
      <c r="ES56" s="76"/>
      <c r="ET56" s="77"/>
      <c r="EU56" s="77"/>
      <c r="EV56" s="78"/>
      <c r="EW56" s="72" t="s">
        <v>113</v>
      </c>
      <c r="EX56" s="72" t="s">
        <v>113</v>
      </c>
      <c r="EY56" s="72" t="s">
        <v>100</v>
      </c>
      <c r="EZ56" s="72" t="s">
        <v>114</v>
      </c>
      <c r="FA56" s="72"/>
      <c r="FB56" s="78"/>
      <c r="FC56" s="78"/>
      <c r="FD56" s="146"/>
      <c r="FE56" s="78"/>
      <c r="FF56" s="78"/>
      <c r="FG56" s="78"/>
      <c r="FH56" s="78"/>
      <c r="FI56" s="78"/>
      <c r="FJ56" s="78"/>
      <c r="FK56" s="78"/>
      <c r="FL56" s="78"/>
      <c r="FM56" s="78"/>
      <c r="FN56" s="78"/>
      <c r="FO56" s="146"/>
      <c r="FP56" s="78"/>
      <c r="FQ56" s="78"/>
      <c r="FR56" s="78"/>
      <c r="FS56" s="78"/>
      <c r="FT56" s="78"/>
      <c r="FU56" s="78"/>
      <c r="FV56" s="78"/>
      <c r="FW56" s="78"/>
      <c r="FX56" s="78"/>
      <c r="FY56" s="78"/>
    </row>
    <row r="57" spans="1:181" s="71" customFormat="1" ht="16.350000000000001" customHeight="1" x14ac:dyDescent="0.25">
      <c r="A57" s="109"/>
      <c r="B57" s="70"/>
      <c r="C57" s="110"/>
      <c r="D57" s="110">
        <v>1</v>
      </c>
      <c r="E57" s="146"/>
      <c r="F57" s="109" t="str">
        <f>mehrsprachigkeitBegriffsrückgabe(gewählteSpracheZurückgeben(), "Variant")</f>
        <v>Variante</v>
      </c>
      <c r="G57" s="111" t="s">
        <v>224</v>
      </c>
      <c r="H57" s="111"/>
      <c r="I57" s="111" t="s">
        <v>86</v>
      </c>
      <c r="J57" s="111" t="s">
        <v>513</v>
      </c>
      <c r="K57" s="111"/>
      <c r="L57" s="146"/>
      <c r="M57" s="149" t="s">
        <v>481</v>
      </c>
      <c r="N57" s="111" t="s">
        <v>482</v>
      </c>
      <c r="O57" s="114" t="s">
        <v>486</v>
      </c>
      <c r="P57" s="114" t="s">
        <v>503</v>
      </c>
      <c r="Q57" s="111"/>
      <c r="R57" s="111"/>
      <c r="S57" s="111"/>
      <c r="T57" s="111"/>
      <c r="U57" s="111"/>
      <c r="V57" s="111"/>
      <c r="W57" s="111"/>
      <c r="X57" s="111"/>
      <c r="Y57" s="111"/>
      <c r="Z57" s="111"/>
      <c r="AA57" s="111"/>
      <c r="AB57" s="111"/>
      <c r="AC57" s="111"/>
      <c r="AD57" s="111"/>
      <c r="AE57" s="111"/>
      <c r="AF57" s="111"/>
      <c r="AG57" s="111"/>
      <c r="AH57" s="111"/>
      <c r="AI57" s="111"/>
      <c r="AJ57" s="111"/>
      <c r="AK57" s="111"/>
      <c r="AL57" s="111"/>
      <c r="AM57" s="111"/>
      <c r="AN57" s="111"/>
      <c r="AO57" s="111"/>
      <c r="AP57" s="111"/>
      <c r="AQ57" s="111"/>
      <c r="AR57" s="111"/>
      <c r="AS57" s="111"/>
      <c r="AT57" s="111"/>
      <c r="AU57" s="111"/>
      <c r="AV57" s="111"/>
      <c r="AW57" s="111"/>
      <c r="AX57" s="111"/>
      <c r="AY57" s="111"/>
      <c r="AZ57" s="111"/>
      <c r="BA57" s="146"/>
      <c r="BB57" s="104"/>
      <c r="BC57" s="72"/>
      <c r="BD57" s="72"/>
      <c r="BE57" s="72"/>
      <c r="BF57" s="146"/>
      <c r="BG57" s="112"/>
      <c r="BH57" s="113" t="str">
        <f>mehrsprachigkeitBegriffsrückgabe(gewählteSpracheZurückgeben(), "Independent price")</f>
        <v>Eigenständiger Preis</v>
      </c>
      <c r="BI57" s="146"/>
      <c r="BJ57" s="105"/>
      <c r="BK57" s="113"/>
      <c r="BL57" s="113"/>
      <c r="BM57" s="105"/>
      <c r="BN57" s="113"/>
      <c r="BO57" s="152"/>
      <c r="BP57" s="146"/>
      <c r="BQ57" s="112"/>
      <c r="BR57" s="113"/>
      <c r="BS57" s="105"/>
      <c r="BT57" s="146"/>
      <c r="BU57" s="105"/>
      <c r="BV57" s="105"/>
      <c r="BW57" s="112"/>
      <c r="BX57" s="113"/>
      <c r="BY57" s="105"/>
      <c r="BZ57" s="113"/>
      <c r="CA57" s="113"/>
      <c r="CB57" s="105"/>
      <c r="CC57" s="113"/>
      <c r="CD57" s="152"/>
      <c r="CE57" s="112"/>
      <c r="CF57" s="113"/>
      <c r="CG57" s="105"/>
      <c r="CH57" s="146"/>
      <c r="CI57" s="105"/>
      <c r="CJ57" s="105"/>
      <c r="CK57" s="112"/>
      <c r="CL57" s="113"/>
      <c r="CM57" s="105"/>
      <c r="CN57" s="152"/>
      <c r="CO57" s="152"/>
      <c r="CP57" s="105"/>
      <c r="CQ57" s="113"/>
      <c r="CR57" s="152"/>
      <c r="CS57" s="112"/>
      <c r="CT57" s="113"/>
      <c r="CU57" s="105"/>
      <c r="CV57" s="146"/>
      <c r="CW57" s="105"/>
      <c r="CX57" s="105"/>
      <c r="CY57" s="112"/>
      <c r="CZ57" s="113"/>
      <c r="DA57" s="105"/>
      <c r="DB57" s="113"/>
      <c r="DC57" s="113"/>
      <c r="DD57" s="105"/>
      <c r="DE57" s="113"/>
      <c r="DF57" s="113"/>
      <c r="DG57" s="112"/>
      <c r="DH57" s="113"/>
      <c r="DI57" s="105"/>
      <c r="DJ57" s="146"/>
      <c r="DK57" s="105"/>
      <c r="DL57" s="105"/>
      <c r="DM57" s="112"/>
      <c r="DN57" s="113"/>
      <c r="DO57" s="105"/>
      <c r="DP57" s="113"/>
      <c r="DQ57" s="113"/>
      <c r="DR57" s="105"/>
      <c r="DS57" s="113"/>
      <c r="DT57" s="113"/>
      <c r="DU57" s="112"/>
      <c r="DV57" s="113"/>
      <c r="DW57" s="105"/>
      <c r="DX57" s="146"/>
      <c r="DY57" s="105"/>
      <c r="DZ57" s="105"/>
      <c r="EA57" s="112"/>
      <c r="EB57" s="113"/>
      <c r="EC57" s="105"/>
      <c r="ED57" s="113"/>
      <c r="EE57" s="113"/>
      <c r="EF57" s="105"/>
      <c r="EG57" s="113"/>
      <c r="EH57" s="113"/>
      <c r="EI57" s="112"/>
      <c r="EJ57" s="113"/>
      <c r="EK57" s="105"/>
      <c r="EL57" s="146"/>
      <c r="EM57" s="72"/>
      <c r="EN57" s="74"/>
      <c r="EO57" s="73"/>
      <c r="EP57" s="72"/>
      <c r="EQ57" s="72"/>
      <c r="ER57" s="75"/>
      <c r="ES57" s="76"/>
      <c r="ET57" s="77"/>
      <c r="EU57" s="77"/>
      <c r="EV57" s="78"/>
      <c r="EW57" s="72" t="s">
        <v>113</v>
      </c>
      <c r="EX57" s="72" t="s">
        <v>113</v>
      </c>
      <c r="EY57" s="72" t="s">
        <v>100</v>
      </c>
      <c r="EZ57" s="72" t="s">
        <v>114</v>
      </c>
      <c r="FA57" s="72"/>
      <c r="FB57" s="78"/>
      <c r="FC57" s="78"/>
      <c r="FD57" s="146"/>
      <c r="FE57" s="78"/>
      <c r="FF57" s="78"/>
      <c r="FG57" s="78"/>
      <c r="FH57" s="78"/>
      <c r="FI57" s="78"/>
      <c r="FJ57" s="78"/>
      <c r="FK57" s="78"/>
      <c r="FL57" s="78"/>
      <c r="FM57" s="78"/>
      <c r="FN57" s="78"/>
      <c r="FO57" s="146"/>
      <c r="FP57" s="78"/>
      <c r="FQ57" s="78"/>
      <c r="FR57" s="78"/>
      <c r="FS57" s="78"/>
      <c r="FT57" s="78"/>
      <c r="FU57" s="78"/>
      <c r="FV57" s="78"/>
      <c r="FW57" s="78"/>
      <c r="FX57" s="78"/>
      <c r="FY57" s="78"/>
    </row>
    <row r="58" spans="1:181" s="71" customFormat="1" ht="16.350000000000001" customHeight="1" x14ac:dyDescent="0.25">
      <c r="A58" s="109"/>
      <c r="B58" s="70"/>
      <c r="C58" s="110"/>
      <c r="D58" s="110">
        <v>1</v>
      </c>
      <c r="E58" s="146"/>
      <c r="F58" s="109" t="str">
        <f>mehrsprachigkeitBegriffsrückgabe(gewählteSpracheZurückgeben(), "Variant")</f>
        <v>Variante</v>
      </c>
      <c r="G58" s="111" t="s">
        <v>224</v>
      </c>
      <c r="H58" s="111"/>
      <c r="I58" s="111" t="s">
        <v>86</v>
      </c>
      <c r="J58" s="111" t="s">
        <v>513</v>
      </c>
      <c r="K58" s="111"/>
      <c r="L58" s="146"/>
      <c r="M58" s="149" t="s">
        <v>481</v>
      </c>
      <c r="N58" s="111" t="s">
        <v>482</v>
      </c>
      <c r="O58" s="114" t="s">
        <v>486</v>
      </c>
      <c r="P58" s="114" t="s">
        <v>504</v>
      </c>
      <c r="Q58" s="111"/>
      <c r="R58" s="111"/>
      <c r="S58" s="111"/>
      <c r="T58" s="111"/>
      <c r="U58" s="111"/>
      <c r="V58" s="111"/>
      <c r="W58" s="111"/>
      <c r="X58" s="111"/>
      <c r="Y58" s="111"/>
      <c r="Z58" s="111"/>
      <c r="AA58" s="111"/>
      <c r="AB58" s="111"/>
      <c r="AC58" s="111"/>
      <c r="AD58" s="111"/>
      <c r="AE58" s="111"/>
      <c r="AF58" s="111"/>
      <c r="AG58" s="111"/>
      <c r="AH58" s="111"/>
      <c r="AI58" s="111"/>
      <c r="AJ58" s="111"/>
      <c r="AK58" s="111"/>
      <c r="AL58" s="111"/>
      <c r="AM58" s="111"/>
      <c r="AN58" s="111"/>
      <c r="AO58" s="111"/>
      <c r="AP58" s="111"/>
      <c r="AQ58" s="111"/>
      <c r="AR58" s="111"/>
      <c r="AS58" s="111"/>
      <c r="AT58" s="111"/>
      <c r="AU58" s="111"/>
      <c r="AV58" s="111"/>
      <c r="AW58" s="111"/>
      <c r="AX58" s="111"/>
      <c r="AY58" s="111"/>
      <c r="AZ58" s="111"/>
      <c r="BA58" s="146"/>
      <c r="BB58" s="104"/>
      <c r="BC58" s="72"/>
      <c r="BD58" s="72"/>
      <c r="BE58" s="72"/>
      <c r="BF58" s="146"/>
      <c r="BG58" s="112"/>
      <c r="BH58" s="113" t="str">
        <f>mehrsprachigkeitBegriffsrückgabe(gewählteSpracheZurückgeben(), "Independent price")</f>
        <v>Eigenständiger Preis</v>
      </c>
      <c r="BI58" s="146"/>
      <c r="BJ58" s="105"/>
      <c r="BK58" s="113"/>
      <c r="BL58" s="113"/>
      <c r="BM58" s="105"/>
      <c r="BN58" s="113"/>
      <c r="BO58" s="152"/>
      <c r="BP58" s="146"/>
      <c r="BQ58" s="112"/>
      <c r="BR58" s="113"/>
      <c r="BS58" s="105"/>
      <c r="BT58" s="146"/>
      <c r="BU58" s="105"/>
      <c r="BV58" s="105"/>
      <c r="BW58" s="112"/>
      <c r="BX58" s="113"/>
      <c r="BY58" s="105"/>
      <c r="BZ58" s="113"/>
      <c r="CA58" s="113"/>
      <c r="CB58" s="105"/>
      <c r="CC58" s="113"/>
      <c r="CD58" s="152"/>
      <c r="CE58" s="112"/>
      <c r="CF58" s="113"/>
      <c r="CG58" s="105"/>
      <c r="CH58" s="146"/>
      <c r="CI58" s="105"/>
      <c r="CJ58" s="105"/>
      <c r="CK58" s="112"/>
      <c r="CL58" s="113"/>
      <c r="CM58" s="105"/>
      <c r="CN58" s="152"/>
      <c r="CO58" s="152"/>
      <c r="CP58" s="105"/>
      <c r="CQ58" s="113"/>
      <c r="CR58" s="152"/>
      <c r="CS58" s="112"/>
      <c r="CT58" s="113"/>
      <c r="CU58" s="105"/>
      <c r="CV58" s="146"/>
      <c r="CW58" s="105"/>
      <c r="CX58" s="105"/>
      <c r="CY58" s="112"/>
      <c r="CZ58" s="113"/>
      <c r="DA58" s="105"/>
      <c r="DB58" s="113"/>
      <c r="DC58" s="113"/>
      <c r="DD58" s="105"/>
      <c r="DE58" s="113"/>
      <c r="DF58" s="113"/>
      <c r="DG58" s="112"/>
      <c r="DH58" s="113"/>
      <c r="DI58" s="105"/>
      <c r="DJ58" s="146"/>
      <c r="DK58" s="105"/>
      <c r="DL58" s="105"/>
      <c r="DM58" s="112"/>
      <c r="DN58" s="113"/>
      <c r="DO58" s="105"/>
      <c r="DP58" s="113"/>
      <c r="DQ58" s="113"/>
      <c r="DR58" s="105"/>
      <c r="DS58" s="113"/>
      <c r="DT58" s="113"/>
      <c r="DU58" s="112"/>
      <c r="DV58" s="113"/>
      <c r="DW58" s="105"/>
      <c r="DX58" s="146"/>
      <c r="DY58" s="105"/>
      <c r="DZ58" s="105"/>
      <c r="EA58" s="112"/>
      <c r="EB58" s="113"/>
      <c r="EC58" s="105"/>
      <c r="ED58" s="113"/>
      <c r="EE58" s="113"/>
      <c r="EF58" s="105"/>
      <c r="EG58" s="113"/>
      <c r="EH58" s="113"/>
      <c r="EI58" s="112"/>
      <c r="EJ58" s="113"/>
      <c r="EK58" s="105"/>
      <c r="EL58" s="146"/>
      <c r="EM58" s="72"/>
      <c r="EN58" s="74"/>
      <c r="EO58" s="73"/>
      <c r="EP58" s="72"/>
      <c r="EQ58" s="72"/>
      <c r="ER58" s="75"/>
      <c r="ES58" s="76"/>
      <c r="ET58" s="77"/>
      <c r="EU58" s="77"/>
      <c r="EV58" s="78"/>
      <c r="EW58" s="72" t="s">
        <v>113</v>
      </c>
      <c r="EX58" s="72" t="s">
        <v>113</v>
      </c>
      <c r="EY58" s="72" t="s">
        <v>100</v>
      </c>
      <c r="EZ58" s="72" t="s">
        <v>114</v>
      </c>
      <c r="FA58" s="72"/>
      <c r="FB58" s="78"/>
      <c r="FC58" s="78"/>
      <c r="FD58" s="146"/>
      <c r="FE58" s="78"/>
      <c r="FF58" s="78"/>
      <c r="FG58" s="78"/>
      <c r="FH58" s="78"/>
      <c r="FI58" s="78"/>
      <c r="FJ58" s="78"/>
      <c r="FK58" s="78"/>
      <c r="FL58" s="78"/>
      <c r="FM58" s="78"/>
      <c r="FN58" s="78"/>
      <c r="FO58" s="146"/>
      <c r="FP58" s="78"/>
      <c r="FQ58" s="78"/>
      <c r="FR58" s="78"/>
      <c r="FS58" s="78"/>
      <c r="FT58" s="78"/>
      <c r="FU58" s="78"/>
      <c r="FV58" s="78"/>
      <c r="FW58" s="78"/>
      <c r="FX58" s="78"/>
      <c r="FY58" s="78"/>
    </row>
    <row r="59" spans="1:181" s="71" customFormat="1" ht="16.350000000000001" customHeight="1" x14ac:dyDescent="0.25">
      <c r="A59" s="109"/>
      <c r="B59" s="70"/>
      <c r="C59" s="110"/>
      <c r="D59" s="110">
        <v>1</v>
      </c>
      <c r="E59" s="146"/>
      <c r="F59" s="109" t="str">
        <f>mehrsprachigkeitBegriffsrückgabe(gewählteSpracheZurückgeben(), "Variant")</f>
        <v>Variante</v>
      </c>
      <c r="G59" s="111" t="s">
        <v>224</v>
      </c>
      <c r="H59" s="111"/>
      <c r="I59" s="111" t="s">
        <v>86</v>
      </c>
      <c r="J59" s="111" t="s">
        <v>513</v>
      </c>
      <c r="K59" s="111"/>
      <c r="L59" s="146"/>
      <c r="M59" s="149" t="s">
        <v>481</v>
      </c>
      <c r="N59" s="111" t="s">
        <v>483</v>
      </c>
      <c r="O59" s="114" t="s">
        <v>486</v>
      </c>
      <c r="P59" s="114" t="s">
        <v>487</v>
      </c>
      <c r="Q59" s="111"/>
      <c r="R59" s="111"/>
      <c r="S59" s="111"/>
      <c r="T59" s="111"/>
      <c r="U59" s="111"/>
      <c r="V59" s="111"/>
      <c r="W59" s="111"/>
      <c r="X59" s="111"/>
      <c r="Y59" s="111"/>
      <c r="Z59" s="111"/>
      <c r="AA59" s="111"/>
      <c r="AB59" s="111"/>
      <c r="AC59" s="111"/>
      <c r="AD59" s="111"/>
      <c r="AE59" s="111"/>
      <c r="AF59" s="111"/>
      <c r="AG59" s="111"/>
      <c r="AH59" s="111"/>
      <c r="AI59" s="111"/>
      <c r="AJ59" s="111"/>
      <c r="AK59" s="111"/>
      <c r="AL59" s="111"/>
      <c r="AM59" s="111"/>
      <c r="AN59" s="111"/>
      <c r="AO59" s="111"/>
      <c r="AP59" s="111"/>
      <c r="AQ59" s="111"/>
      <c r="AR59" s="111"/>
      <c r="AS59" s="111"/>
      <c r="AT59" s="111"/>
      <c r="AU59" s="111"/>
      <c r="AV59" s="111"/>
      <c r="AW59" s="111"/>
      <c r="AX59" s="111"/>
      <c r="AY59" s="111"/>
      <c r="AZ59" s="111"/>
      <c r="BA59" s="146"/>
      <c r="BB59" s="104"/>
      <c r="BC59" s="72"/>
      <c r="BD59" s="72"/>
      <c r="BE59" s="72"/>
      <c r="BF59" s="146"/>
      <c r="BG59" s="112"/>
      <c r="BH59" s="113" t="str">
        <f>mehrsprachigkeitBegriffsrückgabe(gewählteSpracheZurückgeben(), "Independent price")</f>
        <v>Eigenständiger Preis</v>
      </c>
      <c r="BI59" s="146"/>
      <c r="BJ59" s="105"/>
      <c r="BK59" s="113"/>
      <c r="BL59" s="113"/>
      <c r="BM59" s="105"/>
      <c r="BN59" s="113"/>
      <c r="BO59" s="152"/>
      <c r="BP59" s="146"/>
      <c r="BQ59" s="112"/>
      <c r="BR59" s="113"/>
      <c r="BS59" s="105"/>
      <c r="BT59" s="146"/>
      <c r="BU59" s="105"/>
      <c r="BV59" s="105"/>
      <c r="BW59" s="112"/>
      <c r="BX59" s="113"/>
      <c r="BY59" s="105"/>
      <c r="BZ59" s="113"/>
      <c r="CA59" s="113"/>
      <c r="CB59" s="105"/>
      <c r="CC59" s="113"/>
      <c r="CD59" s="152"/>
      <c r="CE59" s="112"/>
      <c r="CF59" s="113"/>
      <c r="CG59" s="105"/>
      <c r="CH59" s="146"/>
      <c r="CI59" s="105"/>
      <c r="CJ59" s="105"/>
      <c r="CK59" s="112"/>
      <c r="CL59" s="113"/>
      <c r="CM59" s="105"/>
      <c r="CN59" s="152"/>
      <c r="CO59" s="152"/>
      <c r="CP59" s="105"/>
      <c r="CQ59" s="113"/>
      <c r="CR59" s="152"/>
      <c r="CS59" s="112"/>
      <c r="CT59" s="113"/>
      <c r="CU59" s="105"/>
      <c r="CV59" s="146"/>
      <c r="CW59" s="105"/>
      <c r="CX59" s="105"/>
      <c r="CY59" s="112"/>
      <c r="CZ59" s="113"/>
      <c r="DA59" s="105"/>
      <c r="DB59" s="113"/>
      <c r="DC59" s="113"/>
      <c r="DD59" s="105"/>
      <c r="DE59" s="113"/>
      <c r="DF59" s="113"/>
      <c r="DG59" s="112"/>
      <c r="DH59" s="113"/>
      <c r="DI59" s="105"/>
      <c r="DJ59" s="146"/>
      <c r="DK59" s="105"/>
      <c r="DL59" s="105"/>
      <c r="DM59" s="112"/>
      <c r="DN59" s="113"/>
      <c r="DO59" s="105"/>
      <c r="DP59" s="113"/>
      <c r="DQ59" s="113"/>
      <c r="DR59" s="105"/>
      <c r="DS59" s="113"/>
      <c r="DT59" s="113"/>
      <c r="DU59" s="112"/>
      <c r="DV59" s="113"/>
      <c r="DW59" s="105"/>
      <c r="DX59" s="146"/>
      <c r="DY59" s="105"/>
      <c r="DZ59" s="105"/>
      <c r="EA59" s="112"/>
      <c r="EB59" s="113"/>
      <c r="EC59" s="105"/>
      <c r="ED59" s="113"/>
      <c r="EE59" s="113"/>
      <c r="EF59" s="105"/>
      <c r="EG59" s="113"/>
      <c r="EH59" s="113"/>
      <c r="EI59" s="112"/>
      <c r="EJ59" s="113"/>
      <c r="EK59" s="105"/>
      <c r="EL59" s="146"/>
      <c r="EM59" s="72"/>
      <c r="EN59" s="74"/>
      <c r="EO59" s="73"/>
      <c r="EP59" s="72"/>
      <c r="EQ59" s="72"/>
      <c r="ER59" s="75"/>
      <c r="ES59" s="76"/>
      <c r="ET59" s="77"/>
      <c r="EU59" s="77"/>
      <c r="EV59" s="78"/>
      <c r="EW59" s="72" t="s">
        <v>113</v>
      </c>
      <c r="EX59" s="72" t="s">
        <v>113</v>
      </c>
      <c r="EY59" s="72" t="s">
        <v>100</v>
      </c>
      <c r="EZ59" s="72" t="s">
        <v>114</v>
      </c>
      <c r="FA59" s="72"/>
      <c r="FB59" s="78"/>
      <c r="FC59" s="78"/>
      <c r="FD59" s="146"/>
      <c r="FE59" s="78"/>
      <c r="FF59" s="78"/>
      <c r="FG59" s="78"/>
      <c r="FH59" s="78"/>
      <c r="FI59" s="78"/>
      <c r="FJ59" s="78"/>
      <c r="FK59" s="78"/>
      <c r="FL59" s="78"/>
      <c r="FM59" s="78"/>
      <c r="FN59" s="78"/>
      <c r="FO59" s="146"/>
      <c r="FP59" s="78"/>
      <c r="FQ59" s="78"/>
      <c r="FR59" s="78"/>
      <c r="FS59" s="78"/>
      <c r="FT59" s="78"/>
      <c r="FU59" s="78"/>
      <c r="FV59" s="78"/>
      <c r="FW59" s="78"/>
      <c r="FX59" s="78"/>
      <c r="FY59" s="78"/>
    </row>
    <row r="60" spans="1:181" s="71" customFormat="1" ht="16.350000000000001" customHeight="1" x14ac:dyDescent="0.25">
      <c r="A60" s="109"/>
      <c r="B60" s="70"/>
      <c r="C60" s="110"/>
      <c r="D60" s="110">
        <v>1</v>
      </c>
      <c r="E60" s="146"/>
      <c r="F60" s="109" t="str">
        <f>mehrsprachigkeitBegriffsrückgabe(gewählteSpracheZurückgeben(), "Variant")</f>
        <v>Variante</v>
      </c>
      <c r="G60" s="111" t="s">
        <v>224</v>
      </c>
      <c r="H60" s="111"/>
      <c r="I60" s="111" t="s">
        <v>86</v>
      </c>
      <c r="J60" s="111" t="s">
        <v>513</v>
      </c>
      <c r="K60" s="111"/>
      <c r="L60" s="146"/>
      <c r="M60" s="149" t="s">
        <v>481</v>
      </c>
      <c r="N60" s="111" t="s">
        <v>483</v>
      </c>
      <c r="O60" s="114" t="s">
        <v>486</v>
      </c>
      <c r="P60" s="114" t="s">
        <v>488</v>
      </c>
      <c r="Q60" s="111"/>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11"/>
      <c r="AR60" s="111"/>
      <c r="AS60" s="111"/>
      <c r="AT60" s="111"/>
      <c r="AU60" s="111"/>
      <c r="AV60" s="111"/>
      <c r="AW60" s="111"/>
      <c r="AX60" s="111"/>
      <c r="AY60" s="111"/>
      <c r="AZ60" s="111"/>
      <c r="BA60" s="146"/>
      <c r="BB60" s="104"/>
      <c r="BC60" s="72"/>
      <c r="BD60" s="72"/>
      <c r="BE60" s="72"/>
      <c r="BF60" s="146"/>
      <c r="BG60" s="112"/>
      <c r="BH60" s="113" t="str">
        <f>mehrsprachigkeitBegriffsrückgabe(gewählteSpracheZurückgeben(), "Independent price")</f>
        <v>Eigenständiger Preis</v>
      </c>
      <c r="BI60" s="146"/>
      <c r="BJ60" s="105"/>
      <c r="BK60" s="113"/>
      <c r="BL60" s="113"/>
      <c r="BM60" s="105"/>
      <c r="BN60" s="113"/>
      <c r="BO60" s="152"/>
      <c r="BP60" s="146"/>
      <c r="BQ60" s="112"/>
      <c r="BR60" s="113"/>
      <c r="BS60" s="105"/>
      <c r="BT60" s="146"/>
      <c r="BU60" s="105"/>
      <c r="BV60" s="105"/>
      <c r="BW60" s="112"/>
      <c r="BX60" s="113"/>
      <c r="BY60" s="105"/>
      <c r="BZ60" s="113"/>
      <c r="CA60" s="113"/>
      <c r="CB60" s="105"/>
      <c r="CC60" s="113"/>
      <c r="CD60" s="152"/>
      <c r="CE60" s="112"/>
      <c r="CF60" s="113"/>
      <c r="CG60" s="105"/>
      <c r="CH60" s="146"/>
      <c r="CI60" s="105"/>
      <c r="CJ60" s="105"/>
      <c r="CK60" s="112"/>
      <c r="CL60" s="113"/>
      <c r="CM60" s="105"/>
      <c r="CN60" s="152"/>
      <c r="CO60" s="152"/>
      <c r="CP60" s="105"/>
      <c r="CQ60" s="113"/>
      <c r="CR60" s="152"/>
      <c r="CS60" s="112"/>
      <c r="CT60" s="113"/>
      <c r="CU60" s="105"/>
      <c r="CV60" s="146"/>
      <c r="CW60" s="105"/>
      <c r="CX60" s="105"/>
      <c r="CY60" s="112"/>
      <c r="CZ60" s="113"/>
      <c r="DA60" s="105"/>
      <c r="DB60" s="113"/>
      <c r="DC60" s="113"/>
      <c r="DD60" s="105"/>
      <c r="DE60" s="113"/>
      <c r="DF60" s="113"/>
      <c r="DG60" s="112"/>
      <c r="DH60" s="113"/>
      <c r="DI60" s="105"/>
      <c r="DJ60" s="146"/>
      <c r="DK60" s="105"/>
      <c r="DL60" s="105"/>
      <c r="DM60" s="112"/>
      <c r="DN60" s="113"/>
      <c r="DO60" s="105"/>
      <c r="DP60" s="113"/>
      <c r="DQ60" s="113"/>
      <c r="DR60" s="105"/>
      <c r="DS60" s="113"/>
      <c r="DT60" s="113"/>
      <c r="DU60" s="112"/>
      <c r="DV60" s="113"/>
      <c r="DW60" s="105"/>
      <c r="DX60" s="146"/>
      <c r="DY60" s="105"/>
      <c r="DZ60" s="105"/>
      <c r="EA60" s="112"/>
      <c r="EB60" s="113"/>
      <c r="EC60" s="105"/>
      <c r="ED60" s="113"/>
      <c r="EE60" s="113"/>
      <c r="EF60" s="105"/>
      <c r="EG60" s="113"/>
      <c r="EH60" s="113"/>
      <c r="EI60" s="112"/>
      <c r="EJ60" s="113"/>
      <c r="EK60" s="105"/>
      <c r="EL60" s="146"/>
      <c r="EM60" s="72"/>
      <c r="EN60" s="74"/>
      <c r="EO60" s="73"/>
      <c r="EP60" s="72"/>
      <c r="EQ60" s="72"/>
      <c r="ER60" s="75"/>
      <c r="ES60" s="76"/>
      <c r="ET60" s="77"/>
      <c r="EU60" s="77"/>
      <c r="EV60" s="78"/>
      <c r="EW60" s="72" t="s">
        <v>113</v>
      </c>
      <c r="EX60" s="72" t="s">
        <v>113</v>
      </c>
      <c r="EY60" s="72" t="s">
        <v>100</v>
      </c>
      <c r="EZ60" s="72" t="s">
        <v>114</v>
      </c>
      <c r="FA60" s="72"/>
      <c r="FB60" s="78"/>
      <c r="FC60" s="78"/>
      <c r="FD60" s="146"/>
      <c r="FE60" s="78"/>
      <c r="FF60" s="78"/>
      <c r="FG60" s="78"/>
      <c r="FH60" s="78"/>
      <c r="FI60" s="78"/>
      <c r="FJ60" s="78"/>
      <c r="FK60" s="78"/>
      <c r="FL60" s="78"/>
      <c r="FM60" s="78"/>
      <c r="FN60" s="78"/>
      <c r="FO60" s="146"/>
      <c r="FP60" s="78"/>
      <c r="FQ60" s="78"/>
      <c r="FR60" s="78"/>
      <c r="FS60" s="78"/>
      <c r="FT60" s="78"/>
      <c r="FU60" s="78"/>
      <c r="FV60" s="78"/>
      <c r="FW60" s="78"/>
      <c r="FX60" s="78"/>
      <c r="FY60" s="78"/>
    </row>
    <row r="61" spans="1:181" s="71" customFormat="1" ht="16.350000000000001" customHeight="1" x14ac:dyDescent="0.25">
      <c r="A61" s="109"/>
      <c r="B61" s="70"/>
      <c r="C61" s="110"/>
      <c r="D61" s="110">
        <v>1</v>
      </c>
      <c r="E61" s="146"/>
      <c r="F61" s="109" t="str">
        <f>mehrsprachigkeitBegriffsrückgabe(gewählteSpracheZurückgeben(), "Variant")</f>
        <v>Variante</v>
      </c>
      <c r="G61" s="111" t="s">
        <v>224</v>
      </c>
      <c r="H61" s="111"/>
      <c r="I61" s="111" t="s">
        <v>86</v>
      </c>
      <c r="J61" s="111" t="s">
        <v>513</v>
      </c>
      <c r="K61" s="111"/>
      <c r="L61" s="146"/>
      <c r="M61" s="149" t="s">
        <v>481</v>
      </c>
      <c r="N61" s="111" t="s">
        <v>483</v>
      </c>
      <c r="O61" s="114" t="s">
        <v>486</v>
      </c>
      <c r="P61" s="114" t="s">
        <v>489</v>
      </c>
      <c r="Q61" s="111"/>
      <c r="R61" s="111"/>
      <c r="S61" s="111"/>
      <c r="T61" s="111"/>
      <c r="U61" s="111"/>
      <c r="V61" s="111"/>
      <c r="W61" s="111"/>
      <c r="X61" s="111"/>
      <c r="Y61" s="111"/>
      <c r="Z61" s="111"/>
      <c r="AA61" s="111"/>
      <c r="AB61" s="111"/>
      <c r="AC61" s="111"/>
      <c r="AD61" s="111"/>
      <c r="AE61" s="111"/>
      <c r="AF61" s="111"/>
      <c r="AG61" s="111"/>
      <c r="AH61" s="111"/>
      <c r="AI61" s="111"/>
      <c r="AJ61" s="111"/>
      <c r="AK61" s="111"/>
      <c r="AL61" s="111"/>
      <c r="AM61" s="111"/>
      <c r="AN61" s="111"/>
      <c r="AO61" s="111"/>
      <c r="AP61" s="111"/>
      <c r="AQ61" s="111"/>
      <c r="AR61" s="111"/>
      <c r="AS61" s="111"/>
      <c r="AT61" s="111"/>
      <c r="AU61" s="111"/>
      <c r="AV61" s="111"/>
      <c r="AW61" s="111"/>
      <c r="AX61" s="111"/>
      <c r="AY61" s="111"/>
      <c r="AZ61" s="111"/>
      <c r="BA61" s="146"/>
      <c r="BB61" s="104"/>
      <c r="BC61" s="72"/>
      <c r="BD61" s="72"/>
      <c r="BE61" s="72"/>
      <c r="BF61" s="146"/>
      <c r="BG61" s="112"/>
      <c r="BH61" s="113" t="str">
        <f>mehrsprachigkeitBegriffsrückgabe(gewählteSpracheZurückgeben(), "Independent price")</f>
        <v>Eigenständiger Preis</v>
      </c>
      <c r="BI61" s="146"/>
      <c r="BJ61" s="105"/>
      <c r="BK61" s="113"/>
      <c r="BL61" s="113"/>
      <c r="BM61" s="105"/>
      <c r="BN61" s="113"/>
      <c r="BO61" s="152"/>
      <c r="BP61" s="146"/>
      <c r="BQ61" s="112"/>
      <c r="BR61" s="113"/>
      <c r="BS61" s="105"/>
      <c r="BT61" s="146"/>
      <c r="BU61" s="105"/>
      <c r="BV61" s="105"/>
      <c r="BW61" s="112"/>
      <c r="BX61" s="113"/>
      <c r="BY61" s="105"/>
      <c r="BZ61" s="113"/>
      <c r="CA61" s="113"/>
      <c r="CB61" s="105"/>
      <c r="CC61" s="113"/>
      <c r="CD61" s="152"/>
      <c r="CE61" s="112"/>
      <c r="CF61" s="113"/>
      <c r="CG61" s="105"/>
      <c r="CH61" s="146"/>
      <c r="CI61" s="105"/>
      <c r="CJ61" s="105"/>
      <c r="CK61" s="112"/>
      <c r="CL61" s="113"/>
      <c r="CM61" s="105"/>
      <c r="CN61" s="152"/>
      <c r="CO61" s="152"/>
      <c r="CP61" s="105"/>
      <c r="CQ61" s="113"/>
      <c r="CR61" s="152"/>
      <c r="CS61" s="112"/>
      <c r="CT61" s="113"/>
      <c r="CU61" s="105"/>
      <c r="CV61" s="146"/>
      <c r="CW61" s="105"/>
      <c r="CX61" s="105"/>
      <c r="CY61" s="112"/>
      <c r="CZ61" s="113"/>
      <c r="DA61" s="105"/>
      <c r="DB61" s="113"/>
      <c r="DC61" s="113"/>
      <c r="DD61" s="105"/>
      <c r="DE61" s="113"/>
      <c r="DF61" s="113"/>
      <c r="DG61" s="112"/>
      <c r="DH61" s="113"/>
      <c r="DI61" s="105"/>
      <c r="DJ61" s="146"/>
      <c r="DK61" s="105"/>
      <c r="DL61" s="105"/>
      <c r="DM61" s="112"/>
      <c r="DN61" s="113"/>
      <c r="DO61" s="105"/>
      <c r="DP61" s="113"/>
      <c r="DQ61" s="113"/>
      <c r="DR61" s="105"/>
      <c r="DS61" s="113"/>
      <c r="DT61" s="113"/>
      <c r="DU61" s="112"/>
      <c r="DV61" s="113"/>
      <c r="DW61" s="105"/>
      <c r="DX61" s="146"/>
      <c r="DY61" s="105"/>
      <c r="DZ61" s="105"/>
      <c r="EA61" s="112"/>
      <c r="EB61" s="113"/>
      <c r="EC61" s="105"/>
      <c r="ED61" s="113"/>
      <c r="EE61" s="113"/>
      <c r="EF61" s="105"/>
      <c r="EG61" s="113"/>
      <c r="EH61" s="113"/>
      <c r="EI61" s="112"/>
      <c r="EJ61" s="113"/>
      <c r="EK61" s="105"/>
      <c r="EL61" s="146"/>
      <c r="EM61" s="72"/>
      <c r="EN61" s="74"/>
      <c r="EO61" s="73"/>
      <c r="EP61" s="72"/>
      <c r="EQ61" s="72"/>
      <c r="ER61" s="75"/>
      <c r="ES61" s="76"/>
      <c r="ET61" s="77"/>
      <c r="EU61" s="77"/>
      <c r="EV61" s="78"/>
      <c r="EW61" s="72" t="s">
        <v>113</v>
      </c>
      <c r="EX61" s="72" t="s">
        <v>113</v>
      </c>
      <c r="EY61" s="72" t="s">
        <v>100</v>
      </c>
      <c r="EZ61" s="72" t="s">
        <v>114</v>
      </c>
      <c r="FA61" s="72"/>
      <c r="FB61" s="78"/>
      <c r="FC61" s="78"/>
      <c r="FD61" s="146"/>
      <c r="FE61" s="78"/>
      <c r="FF61" s="78"/>
      <c r="FG61" s="78"/>
      <c r="FH61" s="78"/>
      <c r="FI61" s="78"/>
      <c r="FJ61" s="78"/>
      <c r="FK61" s="78"/>
      <c r="FL61" s="78"/>
      <c r="FM61" s="78"/>
      <c r="FN61" s="78"/>
      <c r="FO61" s="146"/>
      <c r="FP61" s="78"/>
      <c r="FQ61" s="78"/>
      <c r="FR61" s="78"/>
      <c r="FS61" s="78"/>
      <c r="FT61" s="78"/>
      <c r="FU61" s="78"/>
      <c r="FV61" s="78"/>
      <c r="FW61" s="78"/>
      <c r="FX61" s="78"/>
      <c r="FY61" s="78"/>
    </row>
    <row r="62" spans="1:181" s="71" customFormat="1" ht="16.350000000000001" customHeight="1" x14ac:dyDescent="0.25">
      <c r="A62" s="109"/>
      <c r="B62" s="70"/>
      <c r="C62" s="110"/>
      <c r="D62" s="110">
        <v>1</v>
      </c>
      <c r="E62" s="146"/>
      <c r="F62" s="109" t="str">
        <f>mehrsprachigkeitBegriffsrückgabe(gewählteSpracheZurückgeben(), "Variant")</f>
        <v>Variante</v>
      </c>
      <c r="G62" s="111" t="s">
        <v>224</v>
      </c>
      <c r="H62" s="111"/>
      <c r="I62" s="111" t="s">
        <v>86</v>
      </c>
      <c r="J62" s="111" t="s">
        <v>513</v>
      </c>
      <c r="K62" s="111"/>
      <c r="L62" s="146"/>
      <c r="M62" s="149" t="s">
        <v>481</v>
      </c>
      <c r="N62" s="111" t="s">
        <v>483</v>
      </c>
      <c r="O62" s="114" t="s">
        <v>486</v>
      </c>
      <c r="P62" s="114" t="s">
        <v>490</v>
      </c>
      <c r="Q62" s="111"/>
      <c r="R62" s="111"/>
      <c r="S62" s="111"/>
      <c r="T62" s="111"/>
      <c r="U62" s="111"/>
      <c r="V62" s="111"/>
      <c r="W62" s="111"/>
      <c r="X62" s="111"/>
      <c r="Y62" s="111"/>
      <c r="Z62" s="111"/>
      <c r="AA62" s="111"/>
      <c r="AB62" s="111"/>
      <c r="AC62" s="111"/>
      <c r="AD62" s="111"/>
      <c r="AE62" s="111"/>
      <c r="AF62" s="111"/>
      <c r="AG62" s="111"/>
      <c r="AH62" s="111"/>
      <c r="AI62" s="111"/>
      <c r="AJ62" s="111"/>
      <c r="AK62" s="111"/>
      <c r="AL62" s="111"/>
      <c r="AM62" s="111"/>
      <c r="AN62" s="111"/>
      <c r="AO62" s="111"/>
      <c r="AP62" s="111"/>
      <c r="AQ62" s="111"/>
      <c r="AR62" s="111"/>
      <c r="AS62" s="111"/>
      <c r="AT62" s="111"/>
      <c r="AU62" s="111"/>
      <c r="AV62" s="111"/>
      <c r="AW62" s="111"/>
      <c r="AX62" s="111"/>
      <c r="AY62" s="111"/>
      <c r="AZ62" s="111"/>
      <c r="BA62" s="146"/>
      <c r="BB62" s="104"/>
      <c r="BC62" s="72"/>
      <c r="BD62" s="72"/>
      <c r="BE62" s="72"/>
      <c r="BF62" s="146"/>
      <c r="BG62" s="112"/>
      <c r="BH62" s="113" t="str">
        <f>mehrsprachigkeitBegriffsrückgabe(gewählteSpracheZurückgeben(), "Independent price")</f>
        <v>Eigenständiger Preis</v>
      </c>
      <c r="BI62" s="146"/>
      <c r="BJ62" s="105"/>
      <c r="BK62" s="113"/>
      <c r="BL62" s="113"/>
      <c r="BM62" s="105"/>
      <c r="BN62" s="113"/>
      <c r="BO62" s="152"/>
      <c r="BP62" s="146"/>
      <c r="BQ62" s="112"/>
      <c r="BR62" s="113"/>
      <c r="BS62" s="105"/>
      <c r="BT62" s="146"/>
      <c r="BU62" s="105"/>
      <c r="BV62" s="105"/>
      <c r="BW62" s="112"/>
      <c r="BX62" s="113"/>
      <c r="BY62" s="105"/>
      <c r="BZ62" s="113"/>
      <c r="CA62" s="113"/>
      <c r="CB62" s="105"/>
      <c r="CC62" s="113"/>
      <c r="CD62" s="152"/>
      <c r="CE62" s="112"/>
      <c r="CF62" s="113"/>
      <c r="CG62" s="105"/>
      <c r="CH62" s="146"/>
      <c r="CI62" s="105"/>
      <c r="CJ62" s="105"/>
      <c r="CK62" s="112"/>
      <c r="CL62" s="113"/>
      <c r="CM62" s="105"/>
      <c r="CN62" s="152"/>
      <c r="CO62" s="152"/>
      <c r="CP62" s="105"/>
      <c r="CQ62" s="113"/>
      <c r="CR62" s="152"/>
      <c r="CS62" s="112"/>
      <c r="CT62" s="113"/>
      <c r="CU62" s="105"/>
      <c r="CV62" s="146"/>
      <c r="CW62" s="105"/>
      <c r="CX62" s="105"/>
      <c r="CY62" s="112"/>
      <c r="CZ62" s="113"/>
      <c r="DA62" s="105"/>
      <c r="DB62" s="113"/>
      <c r="DC62" s="113"/>
      <c r="DD62" s="105"/>
      <c r="DE62" s="113"/>
      <c r="DF62" s="113"/>
      <c r="DG62" s="112"/>
      <c r="DH62" s="113"/>
      <c r="DI62" s="105"/>
      <c r="DJ62" s="146"/>
      <c r="DK62" s="105"/>
      <c r="DL62" s="105"/>
      <c r="DM62" s="112"/>
      <c r="DN62" s="113"/>
      <c r="DO62" s="105"/>
      <c r="DP62" s="113"/>
      <c r="DQ62" s="113"/>
      <c r="DR62" s="105"/>
      <c r="DS62" s="113"/>
      <c r="DT62" s="113"/>
      <c r="DU62" s="112"/>
      <c r="DV62" s="113"/>
      <c r="DW62" s="105"/>
      <c r="DX62" s="146"/>
      <c r="DY62" s="105"/>
      <c r="DZ62" s="105"/>
      <c r="EA62" s="112"/>
      <c r="EB62" s="113"/>
      <c r="EC62" s="105"/>
      <c r="ED62" s="113"/>
      <c r="EE62" s="113"/>
      <c r="EF62" s="105"/>
      <c r="EG62" s="113"/>
      <c r="EH62" s="113"/>
      <c r="EI62" s="112"/>
      <c r="EJ62" s="113"/>
      <c r="EK62" s="105"/>
      <c r="EL62" s="146"/>
      <c r="EM62" s="72"/>
      <c r="EN62" s="74"/>
      <c r="EO62" s="73"/>
      <c r="EP62" s="72"/>
      <c r="EQ62" s="72"/>
      <c r="ER62" s="75"/>
      <c r="ES62" s="76"/>
      <c r="ET62" s="77"/>
      <c r="EU62" s="77"/>
      <c r="EV62" s="78"/>
      <c r="EW62" s="72" t="s">
        <v>113</v>
      </c>
      <c r="EX62" s="72" t="s">
        <v>113</v>
      </c>
      <c r="EY62" s="72" t="s">
        <v>100</v>
      </c>
      <c r="EZ62" s="72" t="s">
        <v>114</v>
      </c>
      <c r="FA62" s="72"/>
      <c r="FB62" s="78"/>
      <c r="FC62" s="78"/>
      <c r="FD62" s="146"/>
      <c r="FE62" s="78"/>
      <c r="FF62" s="78"/>
      <c r="FG62" s="78"/>
      <c r="FH62" s="78"/>
      <c r="FI62" s="78"/>
      <c r="FJ62" s="78"/>
      <c r="FK62" s="78"/>
      <c r="FL62" s="78"/>
      <c r="FM62" s="78"/>
      <c r="FN62" s="78"/>
      <c r="FO62" s="146"/>
      <c r="FP62" s="78"/>
      <c r="FQ62" s="78"/>
      <c r="FR62" s="78"/>
      <c r="FS62" s="78"/>
      <c r="FT62" s="78"/>
      <c r="FU62" s="78"/>
      <c r="FV62" s="78"/>
      <c r="FW62" s="78"/>
      <c r="FX62" s="78"/>
      <c r="FY62" s="78"/>
    </row>
    <row r="63" spans="1:181" s="71" customFormat="1" ht="16.350000000000001" customHeight="1" x14ac:dyDescent="0.25">
      <c r="A63" s="109"/>
      <c r="B63" s="70"/>
      <c r="C63" s="110"/>
      <c r="D63" s="110">
        <v>1</v>
      </c>
      <c r="E63" s="146"/>
      <c r="F63" s="109" t="str">
        <f>mehrsprachigkeitBegriffsrückgabe(gewählteSpracheZurückgeben(), "Variant")</f>
        <v>Variante</v>
      </c>
      <c r="G63" s="111" t="s">
        <v>224</v>
      </c>
      <c r="H63" s="111"/>
      <c r="I63" s="111" t="s">
        <v>86</v>
      </c>
      <c r="J63" s="111" t="s">
        <v>513</v>
      </c>
      <c r="K63" s="111"/>
      <c r="L63" s="146"/>
      <c r="M63" s="149" t="s">
        <v>481</v>
      </c>
      <c r="N63" s="111" t="s">
        <v>483</v>
      </c>
      <c r="O63" s="114" t="s">
        <v>486</v>
      </c>
      <c r="P63" s="114" t="s">
        <v>491</v>
      </c>
      <c r="Q63" s="111"/>
      <c r="R63" s="111"/>
      <c r="S63" s="111"/>
      <c r="T63" s="111"/>
      <c r="U63" s="111"/>
      <c r="V63" s="111"/>
      <c r="W63" s="111"/>
      <c r="X63" s="111"/>
      <c r="Y63" s="111"/>
      <c r="Z63" s="111"/>
      <c r="AA63" s="111"/>
      <c r="AB63" s="111"/>
      <c r="AC63" s="111"/>
      <c r="AD63" s="111"/>
      <c r="AE63" s="111"/>
      <c r="AF63" s="111"/>
      <c r="AG63" s="111"/>
      <c r="AH63" s="111"/>
      <c r="AI63" s="111"/>
      <c r="AJ63" s="111"/>
      <c r="AK63" s="111"/>
      <c r="AL63" s="111"/>
      <c r="AM63" s="111"/>
      <c r="AN63" s="111"/>
      <c r="AO63" s="111"/>
      <c r="AP63" s="111"/>
      <c r="AQ63" s="111"/>
      <c r="AR63" s="111"/>
      <c r="AS63" s="111"/>
      <c r="AT63" s="111"/>
      <c r="AU63" s="111"/>
      <c r="AV63" s="111"/>
      <c r="AW63" s="111"/>
      <c r="AX63" s="111"/>
      <c r="AY63" s="111"/>
      <c r="AZ63" s="111"/>
      <c r="BA63" s="146"/>
      <c r="BB63" s="104"/>
      <c r="BC63" s="72"/>
      <c r="BD63" s="72"/>
      <c r="BE63" s="72"/>
      <c r="BF63" s="146"/>
      <c r="BG63" s="112"/>
      <c r="BH63" s="113" t="str">
        <f>mehrsprachigkeitBegriffsrückgabe(gewählteSpracheZurückgeben(), "Independent price")</f>
        <v>Eigenständiger Preis</v>
      </c>
      <c r="BI63" s="146"/>
      <c r="BJ63" s="105"/>
      <c r="BK63" s="113"/>
      <c r="BL63" s="113"/>
      <c r="BM63" s="105"/>
      <c r="BN63" s="113"/>
      <c r="BO63" s="152"/>
      <c r="BP63" s="146"/>
      <c r="BQ63" s="112"/>
      <c r="BR63" s="113"/>
      <c r="BS63" s="105"/>
      <c r="BT63" s="146"/>
      <c r="BU63" s="105"/>
      <c r="BV63" s="105"/>
      <c r="BW63" s="112"/>
      <c r="BX63" s="113"/>
      <c r="BY63" s="105"/>
      <c r="BZ63" s="113"/>
      <c r="CA63" s="113"/>
      <c r="CB63" s="105"/>
      <c r="CC63" s="113"/>
      <c r="CD63" s="152"/>
      <c r="CE63" s="112"/>
      <c r="CF63" s="113"/>
      <c r="CG63" s="105"/>
      <c r="CH63" s="146"/>
      <c r="CI63" s="105"/>
      <c r="CJ63" s="105"/>
      <c r="CK63" s="112"/>
      <c r="CL63" s="113"/>
      <c r="CM63" s="105"/>
      <c r="CN63" s="152"/>
      <c r="CO63" s="152"/>
      <c r="CP63" s="105"/>
      <c r="CQ63" s="113"/>
      <c r="CR63" s="152"/>
      <c r="CS63" s="112"/>
      <c r="CT63" s="113"/>
      <c r="CU63" s="105"/>
      <c r="CV63" s="146"/>
      <c r="CW63" s="105"/>
      <c r="CX63" s="105"/>
      <c r="CY63" s="112"/>
      <c r="CZ63" s="113"/>
      <c r="DA63" s="105"/>
      <c r="DB63" s="113"/>
      <c r="DC63" s="113"/>
      <c r="DD63" s="105"/>
      <c r="DE63" s="113"/>
      <c r="DF63" s="113"/>
      <c r="DG63" s="112"/>
      <c r="DH63" s="113"/>
      <c r="DI63" s="105"/>
      <c r="DJ63" s="146"/>
      <c r="DK63" s="105"/>
      <c r="DL63" s="105"/>
      <c r="DM63" s="112"/>
      <c r="DN63" s="113"/>
      <c r="DO63" s="105"/>
      <c r="DP63" s="113"/>
      <c r="DQ63" s="113"/>
      <c r="DR63" s="105"/>
      <c r="DS63" s="113"/>
      <c r="DT63" s="113"/>
      <c r="DU63" s="112"/>
      <c r="DV63" s="113"/>
      <c r="DW63" s="105"/>
      <c r="DX63" s="146"/>
      <c r="DY63" s="105"/>
      <c r="DZ63" s="105"/>
      <c r="EA63" s="112"/>
      <c r="EB63" s="113"/>
      <c r="EC63" s="105"/>
      <c r="ED63" s="113"/>
      <c r="EE63" s="113"/>
      <c r="EF63" s="105"/>
      <c r="EG63" s="113"/>
      <c r="EH63" s="113"/>
      <c r="EI63" s="112"/>
      <c r="EJ63" s="113"/>
      <c r="EK63" s="105"/>
      <c r="EL63" s="146"/>
      <c r="EM63" s="72"/>
      <c r="EN63" s="74"/>
      <c r="EO63" s="73"/>
      <c r="EP63" s="72"/>
      <c r="EQ63" s="72"/>
      <c r="ER63" s="75"/>
      <c r="ES63" s="76"/>
      <c r="ET63" s="77"/>
      <c r="EU63" s="77"/>
      <c r="EV63" s="78"/>
      <c r="EW63" s="72" t="s">
        <v>113</v>
      </c>
      <c r="EX63" s="72" t="s">
        <v>113</v>
      </c>
      <c r="EY63" s="72" t="s">
        <v>100</v>
      </c>
      <c r="EZ63" s="72" t="s">
        <v>114</v>
      </c>
      <c r="FA63" s="72"/>
      <c r="FB63" s="78"/>
      <c r="FC63" s="78"/>
      <c r="FD63" s="146"/>
      <c r="FE63" s="78"/>
      <c r="FF63" s="78"/>
      <c r="FG63" s="78"/>
      <c r="FH63" s="78"/>
      <c r="FI63" s="78"/>
      <c r="FJ63" s="78"/>
      <c r="FK63" s="78"/>
      <c r="FL63" s="78"/>
      <c r="FM63" s="78"/>
      <c r="FN63" s="78"/>
      <c r="FO63" s="146"/>
      <c r="FP63" s="78"/>
      <c r="FQ63" s="78"/>
      <c r="FR63" s="78"/>
      <c r="FS63" s="78"/>
      <c r="FT63" s="78"/>
      <c r="FU63" s="78"/>
      <c r="FV63" s="78"/>
      <c r="FW63" s="78"/>
      <c r="FX63" s="78"/>
      <c r="FY63" s="78"/>
    </row>
    <row r="64" spans="1:181" s="71" customFormat="1" ht="16.350000000000001" customHeight="1" x14ac:dyDescent="0.25">
      <c r="A64" s="109"/>
      <c r="B64" s="70"/>
      <c r="C64" s="110"/>
      <c r="D64" s="110">
        <v>1</v>
      </c>
      <c r="E64" s="146"/>
      <c r="F64" s="109" t="str">
        <f>mehrsprachigkeitBegriffsrückgabe(gewählteSpracheZurückgeben(), "Variant")</f>
        <v>Variante</v>
      </c>
      <c r="G64" s="111" t="s">
        <v>224</v>
      </c>
      <c r="H64" s="111"/>
      <c r="I64" s="111" t="s">
        <v>86</v>
      </c>
      <c r="J64" s="111" t="s">
        <v>513</v>
      </c>
      <c r="K64" s="111"/>
      <c r="L64" s="146"/>
      <c r="M64" s="149" t="s">
        <v>481</v>
      </c>
      <c r="N64" s="111" t="s">
        <v>483</v>
      </c>
      <c r="O64" s="114" t="s">
        <v>486</v>
      </c>
      <c r="P64" s="114" t="s">
        <v>492</v>
      </c>
      <c r="Q64" s="111"/>
      <c r="R64" s="111"/>
      <c r="S64" s="111"/>
      <c r="T64" s="111"/>
      <c r="U64" s="111"/>
      <c r="V64" s="111"/>
      <c r="W64" s="111"/>
      <c r="X64" s="111"/>
      <c r="Y64" s="111"/>
      <c r="Z64" s="111"/>
      <c r="AA64" s="111"/>
      <c r="AB64" s="111"/>
      <c r="AC64" s="111"/>
      <c r="AD64" s="111"/>
      <c r="AE64" s="111"/>
      <c r="AF64" s="111"/>
      <c r="AG64" s="111"/>
      <c r="AH64" s="111"/>
      <c r="AI64" s="111"/>
      <c r="AJ64" s="111"/>
      <c r="AK64" s="111"/>
      <c r="AL64" s="111"/>
      <c r="AM64" s="111"/>
      <c r="AN64" s="111"/>
      <c r="AO64" s="111"/>
      <c r="AP64" s="111"/>
      <c r="AQ64" s="111"/>
      <c r="AR64" s="111"/>
      <c r="AS64" s="111"/>
      <c r="AT64" s="111"/>
      <c r="AU64" s="111"/>
      <c r="AV64" s="111"/>
      <c r="AW64" s="111"/>
      <c r="AX64" s="111"/>
      <c r="AY64" s="111"/>
      <c r="AZ64" s="111"/>
      <c r="BA64" s="146"/>
      <c r="BB64" s="104"/>
      <c r="BC64" s="72"/>
      <c r="BD64" s="72"/>
      <c r="BE64" s="72"/>
      <c r="BF64" s="146"/>
      <c r="BG64" s="112"/>
      <c r="BH64" s="113" t="str">
        <f>mehrsprachigkeitBegriffsrückgabe(gewählteSpracheZurückgeben(), "Independent price")</f>
        <v>Eigenständiger Preis</v>
      </c>
      <c r="BI64" s="146"/>
      <c r="BJ64" s="105"/>
      <c r="BK64" s="113"/>
      <c r="BL64" s="113"/>
      <c r="BM64" s="105"/>
      <c r="BN64" s="113"/>
      <c r="BO64" s="152"/>
      <c r="BP64" s="146"/>
      <c r="BQ64" s="112"/>
      <c r="BR64" s="113"/>
      <c r="BS64" s="105"/>
      <c r="BT64" s="146"/>
      <c r="BU64" s="105"/>
      <c r="BV64" s="105"/>
      <c r="BW64" s="112"/>
      <c r="BX64" s="113"/>
      <c r="BY64" s="105"/>
      <c r="BZ64" s="113"/>
      <c r="CA64" s="113"/>
      <c r="CB64" s="105"/>
      <c r="CC64" s="113"/>
      <c r="CD64" s="152"/>
      <c r="CE64" s="112"/>
      <c r="CF64" s="113"/>
      <c r="CG64" s="105"/>
      <c r="CH64" s="146"/>
      <c r="CI64" s="105"/>
      <c r="CJ64" s="105"/>
      <c r="CK64" s="112"/>
      <c r="CL64" s="113"/>
      <c r="CM64" s="105"/>
      <c r="CN64" s="152"/>
      <c r="CO64" s="152"/>
      <c r="CP64" s="105"/>
      <c r="CQ64" s="113"/>
      <c r="CR64" s="152"/>
      <c r="CS64" s="112"/>
      <c r="CT64" s="113"/>
      <c r="CU64" s="105"/>
      <c r="CV64" s="146"/>
      <c r="CW64" s="105"/>
      <c r="CX64" s="105"/>
      <c r="CY64" s="112"/>
      <c r="CZ64" s="113"/>
      <c r="DA64" s="105"/>
      <c r="DB64" s="113"/>
      <c r="DC64" s="113"/>
      <c r="DD64" s="105"/>
      <c r="DE64" s="113"/>
      <c r="DF64" s="113"/>
      <c r="DG64" s="112"/>
      <c r="DH64" s="113"/>
      <c r="DI64" s="105"/>
      <c r="DJ64" s="146"/>
      <c r="DK64" s="105"/>
      <c r="DL64" s="105"/>
      <c r="DM64" s="112"/>
      <c r="DN64" s="113"/>
      <c r="DO64" s="105"/>
      <c r="DP64" s="113"/>
      <c r="DQ64" s="113"/>
      <c r="DR64" s="105"/>
      <c r="DS64" s="113"/>
      <c r="DT64" s="113"/>
      <c r="DU64" s="112"/>
      <c r="DV64" s="113"/>
      <c r="DW64" s="105"/>
      <c r="DX64" s="146"/>
      <c r="DY64" s="105"/>
      <c r="DZ64" s="105"/>
      <c r="EA64" s="112"/>
      <c r="EB64" s="113"/>
      <c r="EC64" s="105"/>
      <c r="ED64" s="113"/>
      <c r="EE64" s="113"/>
      <c r="EF64" s="105"/>
      <c r="EG64" s="113"/>
      <c r="EH64" s="113"/>
      <c r="EI64" s="112"/>
      <c r="EJ64" s="113"/>
      <c r="EK64" s="105"/>
      <c r="EL64" s="146"/>
      <c r="EM64" s="72"/>
      <c r="EN64" s="74"/>
      <c r="EO64" s="73"/>
      <c r="EP64" s="72"/>
      <c r="EQ64" s="72"/>
      <c r="ER64" s="75"/>
      <c r="ES64" s="76"/>
      <c r="ET64" s="77"/>
      <c r="EU64" s="77"/>
      <c r="EV64" s="78"/>
      <c r="EW64" s="72" t="s">
        <v>113</v>
      </c>
      <c r="EX64" s="72" t="s">
        <v>113</v>
      </c>
      <c r="EY64" s="72" t="s">
        <v>100</v>
      </c>
      <c r="EZ64" s="72" t="s">
        <v>114</v>
      </c>
      <c r="FA64" s="72"/>
      <c r="FB64" s="78"/>
      <c r="FC64" s="78"/>
      <c r="FD64" s="146"/>
      <c r="FE64" s="78"/>
      <c r="FF64" s="78"/>
      <c r="FG64" s="78"/>
      <c r="FH64" s="78"/>
      <c r="FI64" s="78"/>
      <c r="FJ64" s="78"/>
      <c r="FK64" s="78"/>
      <c r="FL64" s="78"/>
      <c r="FM64" s="78"/>
      <c r="FN64" s="78"/>
      <c r="FO64" s="146"/>
      <c r="FP64" s="78"/>
      <c r="FQ64" s="78"/>
      <c r="FR64" s="78"/>
      <c r="FS64" s="78"/>
      <c r="FT64" s="78"/>
      <c r="FU64" s="78"/>
      <c r="FV64" s="78"/>
      <c r="FW64" s="78"/>
      <c r="FX64" s="78"/>
      <c r="FY64" s="78"/>
    </row>
    <row r="65" spans="1:181" s="71" customFormat="1" ht="16.350000000000001" customHeight="1" x14ac:dyDescent="0.25">
      <c r="A65" s="109"/>
      <c r="B65" s="70"/>
      <c r="C65" s="110"/>
      <c r="D65" s="110">
        <v>1</v>
      </c>
      <c r="E65" s="146"/>
      <c r="F65" s="109" t="str">
        <f>mehrsprachigkeitBegriffsrückgabe(gewählteSpracheZurückgeben(), "Variant")</f>
        <v>Variante</v>
      </c>
      <c r="G65" s="111" t="s">
        <v>224</v>
      </c>
      <c r="H65" s="111"/>
      <c r="I65" s="111" t="s">
        <v>86</v>
      </c>
      <c r="J65" s="111" t="s">
        <v>513</v>
      </c>
      <c r="K65" s="111"/>
      <c r="L65" s="146"/>
      <c r="M65" s="149" t="s">
        <v>481</v>
      </c>
      <c r="N65" s="111" t="s">
        <v>483</v>
      </c>
      <c r="O65" s="114" t="s">
        <v>486</v>
      </c>
      <c r="P65" s="114" t="s">
        <v>493</v>
      </c>
      <c r="Q65" s="111"/>
      <c r="R65" s="111"/>
      <c r="S65" s="111"/>
      <c r="T65" s="111"/>
      <c r="U65" s="111"/>
      <c r="V65" s="111"/>
      <c r="W65" s="111"/>
      <c r="X65" s="111"/>
      <c r="Y65" s="111"/>
      <c r="Z65" s="111"/>
      <c r="AA65" s="111"/>
      <c r="AB65" s="111"/>
      <c r="AC65" s="111"/>
      <c r="AD65" s="111"/>
      <c r="AE65" s="111"/>
      <c r="AF65" s="111"/>
      <c r="AG65" s="111"/>
      <c r="AH65" s="111"/>
      <c r="AI65" s="111"/>
      <c r="AJ65" s="111"/>
      <c r="AK65" s="111"/>
      <c r="AL65" s="111"/>
      <c r="AM65" s="111"/>
      <c r="AN65" s="111"/>
      <c r="AO65" s="111"/>
      <c r="AP65" s="111"/>
      <c r="AQ65" s="111"/>
      <c r="AR65" s="111"/>
      <c r="AS65" s="111"/>
      <c r="AT65" s="111"/>
      <c r="AU65" s="111"/>
      <c r="AV65" s="111"/>
      <c r="AW65" s="111"/>
      <c r="AX65" s="111"/>
      <c r="AY65" s="111"/>
      <c r="AZ65" s="111"/>
      <c r="BA65" s="146"/>
      <c r="BB65" s="104"/>
      <c r="BC65" s="72"/>
      <c r="BD65" s="72"/>
      <c r="BE65" s="72"/>
      <c r="BF65" s="146"/>
      <c r="BG65" s="112"/>
      <c r="BH65" s="113" t="str">
        <f>mehrsprachigkeitBegriffsrückgabe(gewählteSpracheZurückgeben(), "Independent price")</f>
        <v>Eigenständiger Preis</v>
      </c>
      <c r="BI65" s="146"/>
      <c r="BJ65" s="105"/>
      <c r="BK65" s="113"/>
      <c r="BL65" s="113"/>
      <c r="BM65" s="105"/>
      <c r="BN65" s="113"/>
      <c r="BO65" s="152"/>
      <c r="BP65" s="146"/>
      <c r="BQ65" s="112"/>
      <c r="BR65" s="113"/>
      <c r="BS65" s="105"/>
      <c r="BT65" s="146"/>
      <c r="BU65" s="105"/>
      <c r="BV65" s="105"/>
      <c r="BW65" s="112"/>
      <c r="BX65" s="113"/>
      <c r="BY65" s="105"/>
      <c r="BZ65" s="113"/>
      <c r="CA65" s="113"/>
      <c r="CB65" s="105"/>
      <c r="CC65" s="113"/>
      <c r="CD65" s="152"/>
      <c r="CE65" s="112"/>
      <c r="CF65" s="113"/>
      <c r="CG65" s="105"/>
      <c r="CH65" s="146"/>
      <c r="CI65" s="105"/>
      <c r="CJ65" s="105"/>
      <c r="CK65" s="112"/>
      <c r="CL65" s="113"/>
      <c r="CM65" s="105"/>
      <c r="CN65" s="152"/>
      <c r="CO65" s="152"/>
      <c r="CP65" s="105"/>
      <c r="CQ65" s="113"/>
      <c r="CR65" s="152"/>
      <c r="CS65" s="112"/>
      <c r="CT65" s="113"/>
      <c r="CU65" s="105"/>
      <c r="CV65" s="146"/>
      <c r="CW65" s="105"/>
      <c r="CX65" s="105"/>
      <c r="CY65" s="112"/>
      <c r="CZ65" s="113"/>
      <c r="DA65" s="105"/>
      <c r="DB65" s="113"/>
      <c r="DC65" s="113"/>
      <c r="DD65" s="105"/>
      <c r="DE65" s="113"/>
      <c r="DF65" s="113"/>
      <c r="DG65" s="112"/>
      <c r="DH65" s="113"/>
      <c r="DI65" s="105"/>
      <c r="DJ65" s="146"/>
      <c r="DK65" s="105"/>
      <c r="DL65" s="105"/>
      <c r="DM65" s="112"/>
      <c r="DN65" s="113"/>
      <c r="DO65" s="105"/>
      <c r="DP65" s="113"/>
      <c r="DQ65" s="113"/>
      <c r="DR65" s="105"/>
      <c r="DS65" s="113"/>
      <c r="DT65" s="113"/>
      <c r="DU65" s="112"/>
      <c r="DV65" s="113"/>
      <c r="DW65" s="105"/>
      <c r="DX65" s="146"/>
      <c r="DY65" s="105"/>
      <c r="DZ65" s="105"/>
      <c r="EA65" s="112"/>
      <c r="EB65" s="113"/>
      <c r="EC65" s="105"/>
      <c r="ED65" s="113"/>
      <c r="EE65" s="113"/>
      <c r="EF65" s="105"/>
      <c r="EG65" s="113"/>
      <c r="EH65" s="113"/>
      <c r="EI65" s="112"/>
      <c r="EJ65" s="113"/>
      <c r="EK65" s="105"/>
      <c r="EL65" s="146"/>
      <c r="EM65" s="72"/>
      <c r="EN65" s="74"/>
      <c r="EO65" s="73"/>
      <c r="EP65" s="72"/>
      <c r="EQ65" s="72"/>
      <c r="ER65" s="75"/>
      <c r="ES65" s="76"/>
      <c r="ET65" s="77"/>
      <c r="EU65" s="77"/>
      <c r="EV65" s="78"/>
      <c r="EW65" s="72" t="s">
        <v>113</v>
      </c>
      <c r="EX65" s="72" t="s">
        <v>113</v>
      </c>
      <c r="EY65" s="72" t="s">
        <v>100</v>
      </c>
      <c r="EZ65" s="72" t="s">
        <v>114</v>
      </c>
      <c r="FA65" s="72"/>
      <c r="FB65" s="78"/>
      <c r="FC65" s="78"/>
      <c r="FD65" s="146"/>
      <c r="FE65" s="78"/>
      <c r="FF65" s="78"/>
      <c r="FG65" s="78"/>
      <c r="FH65" s="78"/>
      <c r="FI65" s="78"/>
      <c r="FJ65" s="78"/>
      <c r="FK65" s="78"/>
      <c r="FL65" s="78"/>
      <c r="FM65" s="78"/>
      <c r="FN65" s="78"/>
      <c r="FO65" s="146"/>
      <c r="FP65" s="78"/>
      <c r="FQ65" s="78"/>
      <c r="FR65" s="78"/>
      <c r="FS65" s="78"/>
      <c r="FT65" s="78"/>
      <c r="FU65" s="78"/>
      <c r="FV65" s="78"/>
      <c r="FW65" s="78"/>
      <c r="FX65" s="78"/>
      <c r="FY65" s="78"/>
    </row>
    <row r="66" spans="1:181" s="71" customFormat="1" ht="16.350000000000001" customHeight="1" x14ac:dyDescent="0.25">
      <c r="A66" s="109"/>
      <c r="B66" s="70"/>
      <c r="C66" s="110"/>
      <c r="D66" s="110">
        <v>1</v>
      </c>
      <c r="E66" s="146"/>
      <c r="F66" s="109" t="str">
        <f>mehrsprachigkeitBegriffsrückgabe(gewählteSpracheZurückgeben(), "Variant")</f>
        <v>Variante</v>
      </c>
      <c r="G66" s="111" t="s">
        <v>224</v>
      </c>
      <c r="H66" s="111"/>
      <c r="I66" s="111" t="s">
        <v>86</v>
      </c>
      <c r="J66" s="111" t="s">
        <v>513</v>
      </c>
      <c r="K66" s="111"/>
      <c r="L66" s="146"/>
      <c r="M66" s="149" t="s">
        <v>481</v>
      </c>
      <c r="N66" s="111" t="s">
        <v>483</v>
      </c>
      <c r="O66" s="114" t="s">
        <v>486</v>
      </c>
      <c r="P66" s="114" t="s">
        <v>494</v>
      </c>
      <c r="Q66" s="111"/>
      <c r="R66" s="111"/>
      <c r="S66" s="111"/>
      <c r="T66" s="111"/>
      <c r="U66" s="111"/>
      <c r="V66" s="111"/>
      <c r="W66" s="111"/>
      <c r="X66" s="111"/>
      <c r="Y66" s="111"/>
      <c r="Z66" s="111"/>
      <c r="AA66" s="111"/>
      <c r="AB66" s="111"/>
      <c r="AC66" s="111"/>
      <c r="AD66" s="111"/>
      <c r="AE66" s="111"/>
      <c r="AF66" s="111"/>
      <c r="AG66" s="111"/>
      <c r="AH66" s="111"/>
      <c r="AI66" s="111"/>
      <c r="AJ66" s="111"/>
      <c r="AK66" s="111"/>
      <c r="AL66" s="111"/>
      <c r="AM66" s="111"/>
      <c r="AN66" s="111"/>
      <c r="AO66" s="111"/>
      <c r="AP66" s="111"/>
      <c r="AQ66" s="111"/>
      <c r="AR66" s="111"/>
      <c r="AS66" s="111"/>
      <c r="AT66" s="111"/>
      <c r="AU66" s="111"/>
      <c r="AV66" s="111"/>
      <c r="AW66" s="111"/>
      <c r="AX66" s="111"/>
      <c r="AY66" s="111"/>
      <c r="AZ66" s="111"/>
      <c r="BA66" s="146"/>
      <c r="BB66" s="104"/>
      <c r="BC66" s="72"/>
      <c r="BD66" s="72"/>
      <c r="BE66" s="72"/>
      <c r="BF66" s="146"/>
      <c r="BG66" s="112"/>
      <c r="BH66" s="113" t="str">
        <f>mehrsprachigkeitBegriffsrückgabe(gewählteSpracheZurückgeben(), "Independent price")</f>
        <v>Eigenständiger Preis</v>
      </c>
      <c r="BI66" s="146"/>
      <c r="BJ66" s="105"/>
      <c r="BK66" s="113"/>
      <c r="BL66" s="113"/>
      <c r="BM66" s="105"/>
      <c r="BN66" s="113"/>
      <c r="BO66" s="152"/>
      <c r="BP66" s="146"/>
      <c r="BQ66" s="112"/>
      <c r="BR66" s="113"/>
      <c r="BS66" s="105"/>
      <c r="BT66" s="146"/>
      <c r="BU66" s="105"/>
      <c r="BV66" s="105"/>
      <c r="BW66" s="112"/>
      <c r="BX66" s="113"/>
      <c r="BY66" s="105"/>
      <c r="BZ66" s="113"/>
      <c r="CA66" s="113"/>
      <c r="CB66" s="105"/>
      <c r="CC66" s="113"/>
      <c r="CD66" s="152"/>
      <c r="CE66" s="112"/>
      <c r="CF66" s="113"/>
      <c r="CG66" s="105"/>
      <c r="CH66" s="146"/>
      <c r="CI66" s="105"/>
      <c r="CJ66" s="105"/>
      <c r="CK66" s="112"/>
      <c r="CL66" s="113"/>
      <c r="CM66" s="105"/>
      <c r="CN66" s="152"/>
      <c r="CO66" s="152"/>
      <c r="CP66" s="105"/>
      <c r="CQ66" s="113"/>
      <c r="CR66" s="152"/>
      <c r="CS66" s="112"/>
      <c r="CT66" s="113"/>
      <c r="CU66" s="105"/>
      <c r="CV66" s="146"/>
      <c r="CW66" s="105"/>
      <c r="CX66" s="105"/>
      <c r="CY66" s="112"/>
      <c r="CZ66" s="113"/>
      <c r="DA66" s="105"/>
      <c r="DB66" s="113"/>
      <c r="DC66" s="113"/>
      <c r="DD66" s="105"/>
      <c r="DE66" s="113"/>
      <c r="DF66" s="113"/>
      <c r="DG66" s="112"/>
      <c r="DH66" s="113"/>
      <c r="DI66" s="105"/>
      <c r="DJ66" s="146"/>
      <c r="DK66" s="105"/>
      <c r="DL66" s="105"/>
      <c r="DM66" s="112"/>
      <c r="DN66" s="113"/>
      <c r="DO66" s="105"/>
      <c r="DP66" s="113"/>
      <c r="DQ66" s="113"/>
      <c r="DR66" s="105"/>
      <c r="DS66" s="113"/>
      <c r="DT66" s="113"/>
      <c r="DU66" s="112"/>
      <c r="DV66" s="113"/>
      <c r="DW66" s="105"/>
      <c r="DX66" s="146"/>
      <c r="DY66" s="105"/>
      <c r="DZ66" s="105"/>
      <c r="EA66" s="112"/>
      <c r="EB66" s="113"/>
      <c r="EC66" s="105"/>
      <c r="ED66" s="113"/>
      <c r="EE66" s="113"/>
      <c r="EF66" s="105"/>
      <c r="EG66" s="113"/>
      <c r="EH66" s="113"/>
      <c r="EI66" s="112"/>
      <c r="EJ66" s="113"/>
      <c r="EK66" s="105"/>
      <c r="EL66" s="146"/>
      <c r="EM66" s="72"/>
      <c r="EN66" s="74"/>
      <c r="EO66" s="73"/>
      <c r="EP66" s="72"/>
      <c r="EQ66" s="72"/>
      <c r="ER66" s="75"/>
      <c r="ES66" s="76"/>
      <c r="ET66" s="77"/>
      <c r="EU66" s="77"/>
      <c r="EV66" s="78"/>
      <c r="EW66" s="72" t="s">
        <v>113</v>
      </c>
      <c r="EX66" s="72" t="s">
        <v>113</v>
      </c>
      <c r="EY66" s="72" t="s">
        <v>100</v>
      </c>
      <c r="EZ66" s="72" t="s">
        <v>114</v>
      </c>
      <c r="FA66" s="72"/>
      <c r="FB66" s="78"/>
      <c r="FC66" s="78"/>
      <c r="FD66" s="146"/>
      <c r="FE66" s="78"/>
      <c r="FF66" s="78"/>
      <c r="FG66" s="78"/>
      <c r="FH66" s="78"/>
      <c r="FI66" s="78"/>
      <c r="FJ66" s="78"/>
      <c r="FK66" s="78"/>
      <c r="FL66" s="78"/>
      <c r="FM66" s="78"/>
      <c r="FN66" s="78"/>
      <c r="FO66" s="146"/>
      <c r="FP66" s="78"/>
      <c r="FQ66" s="78"/>
      <c r="FR66" s="78"/>
      <c r="FS66" s="78"/>
      <c r="FT66" s="78"/>
      <c r="FU66" s="78"/>
      <c r="FV66" s="78"/>
      <c r="FW66" s="78"/>
      <c r="FX66" s="78"/>
      <c r="FY66" s="78"/>
    </row>
    <row r="67" spans="1:181" s="71" customFormat="1" ht="16.350000000000001" customHeight="1" x14ac:dyDescent="0.25">
      <c r="A67" s="109"/>
      <c r="B67" s="70"/>
      <c r="C67" s="110"/>
      <c r="D67" s="110">
        <v>1</v>
      </c>
      <c r="E67" s="146"/>
      <c r="F67" s="109" t="str">
        <f>mehrsprachigkeitBegriffsrückgabe(gewählteSpracheZurückgeben(), "Variant")</f>
        <v>Variante</v>
      </c>
      <c r="G67" s="111" t="s">
        <v>224</v>
      </c>
      <c r="H67" s="111"/>
      <c r="I67" s="111" t="s">
        <v>86</v>
      </c>
      <c r="J67" s="111" t="s">
        <v>513</v>
      </c>
      <c r="K67" s="111"/>
      <c r="L67" s="146"/>
      <c r="M67" s="149" t="s">
        <v>481</v>
      </c>
      <c r="N67" s="111" t="s">
        <v>483</v>
      </c>
      <c r="O67" s="114" t="s">
        <v>486</v>
      </c>
      <c r="P67" s="114" t="s">
        <v>495</v>
      </c>
      <c r="Q67" s="111"/>
      <c r="R67" s="111"/>
      <c r="S67" s="111"/>
      <c r="T67" s="111"/>
      <c r="U67" s="111"/>
      <c r="V67" s="111"/>
      <c r="W67" s="111"/>
      <c r="X67" s="111"/>
      <c r="Y67" s="111"/>
      <c r="Z67" s="111"/>
      <c r="AA67" s="111"/>
      <c r="AB67" s="111"/>
      <c r="AC67" s="111"/>
      <c r="AD67" s="111"/>
      <c r="AE67" s="111"/>
      <c r="AF67" s="111"/>
      <c r="AG67" s="111"/>
      <c r="AH67" s="111"/>
      <c r="AI67" s="111"/>
      <c r="AJ67" s="111"/>
      <c r="AK67" s="111"/>
      <c r="AL67" s="111"/>
      <c r="AM67" s="111"/>
      <c r="AN67" s="111"/>
      <c r="AO67" s="111"/>
      <c r="AP67" s="111"/>
      <c r="AQ67" s="111"/>
      <c r="AR67" s="111"/>
      <c r="AS67" s="111"/>
      <c r="AT67" s="111"/>
      <c r="AU67" s="111"/>
      <c r="AV67" s="111"/>
      <c r="AW67" s="111"/>
      <c r="AX67" s="111"/>
      <c r="AY67" s="111"/>
      <c r="AZ67" s="111"/>
      <c r="BA67" s="146"/>
      <c r="BB67" s="104"/>
      <c r="BC67" s="72"/>
      <c r="BD67" s="72"/>
      <c r="BE67" s="72"/>
      <c r="BF67" s="146"/>
      <c r="BG67" s="112"/>
      <c r="BH67" s="113" t="str">
        <f>mehrsprachigkeitBegriffsrückgabe(gewählteSpracheZurückgeben(), "Independent price")</f>
        <v>Eigenständiger Preis</v>
      </c>
      <c r="BI67" s="146"/>
      <c r="BJ67" s="105"/>
      <c r="BK67" s="113"/>
      <c r="BL67" s="113"/>
      <c r="BM67" s="105"/>
      <c r="BN67" s="113"/>
      <c r="BO67" s="152"/>
      <c r="BP67" s="146"/>
      <c r="BQ67" s="112"/>
      <c r="BR67" s="113"/>
      <c r="BS67" s="105"/>
      <c r="BT67" s="146"/>
      <c r="BU67" s="105"/>
      <c r="BV67" s="105"/>
      <c r="BW67" s="112"/>
      <c r="BX67" s="113"/>
      <c r="BY67" s="105"/>
      <c r="BZ67" s="113"/>
      <c r="CA67" s="113"/>
      <c r="CB67" s="105"/>
      <c r="CC67" s="113"/>
      <c r="CD67" s="152"/>
      <c r="CE67" s="112"/>
      <c r="CF67" s="113"/>
      <c r="CG67" s="105"/>
      <c r="CH67" s="146"/>
      <c r="CI67" s="105"/>
      <c r="CJ67" s="105"/>
      <c r="CK67" s="112"/>
      <c r="CL67" s="113"/>
      <c r="CM67" s="105"/>
      <c r="CN67" s="152"/>
      <c r="CO67" s="152"/>
      <c r="CP67" s="105"/>
      <c r="CQ67" s="113"/>
      <c r="CR67" s="152"/>
      <c r="CS67" s="112"/>
      <c r="CT67" s="113"/>
      <c r="CU67" s="105"/>
      <c r="CV67" s="146"/>
      <c r="CW67" s="105"/>
      <c r="CX67" s="105"/>
      <c r="CY67" s="112"/>
      <c r="CZ67" s="113"/>
      <c r="DA67" s="105"/>
      <c r="DB67" s="113"/>
      <c r="DC67" s="113"/>
      <c r="DD67" s="105"/>
      <c r="DE67" s="113"/>
      <c r="DF67" s="113"/>
      <c r="DG67" s="112"/>
      <c r="DH67" s="113"/>
      <c r="DI67" s="105"/>
      <c r="DJ67" s="146"/>
      <c r="DK67" s="105"/>
      <c r="DL67" s="105"/>
      <c r="DM67" s="112"/>
      <c r="DN67" s="113"/>
      <c r="DO67" s="105"/>
      <c r="DP67" s="113"/>
      <c r="DQ67" s="113"/>
      <c r="DR67" s="105"/>
      <c r="DS67" s="113"/>
      <c r="DT67" s="113"/>
      <c r="DU67" s="112"/>
      <c r="DV67" s="113"/>
      <c r="DW67" s="105"/>
      <c r="DX67" s="146"/>
      <c r="DY67" s="105"/>
      <c r="DZ67" s="105"/>
      <c r="EA67" s="112"/>
      <c r="EB67" s="113"/>
      <c r="EC67" s="105"/>
      <c r="ED67" s="113"/>
      <c r="EE67" s="113"/>
      <c r="EF67" s="105"/>
      <c r="EG67" s="113"/>
      <c r="EH67" s="113"/>
      <c r="EI67" s="112"/>
      <c r="EJ67" s="113"/>
      <c r="EK67" s="105"/>
      <c r="EL67" s="146"/>
      <c r="EM67" s="72"/>
      <c r="EN67" s="74"/>
      <c r="EO67" s="73"/>
      <c r="EP67" s="72"/>
      <c r="EQ67" s="72"/>
      <c r="ER67" s="75"/>
      <c r="ES67" s="76"/>
      <c r="ET67" s="77"/>
      <c r="EU67" s="77"/>
      <c r="EV67" s="78"/>
      <c r="EW67" s="72" t="s">
        <v>113</v>
      </c>
      <c r="EX67" s="72" t="s">
        <v>113</v>
      </c>
      <c r="EY67" s="72" t="s">
        <v>100</v>
      </c>
      <c r="EZ67" s="72" t="s">
        <v>114</v>
      </c>
      <c r="FA67" s="72"/>
      <c r="FB67" s="78"/>
      <c r="FC67" s="78"/>
      <c r="FD67" s="146"/>
      <c r="FE67" s="78"/>
      <c r="FF67" s="78"/>
      <c r="FG67" s="78"/>
      <c r="FH67" s="78"/>
      <c r="FI67" s="78"/>
      <c r="FJ67" s="78"/>
      <c r="FK67" s="78"/>
      <c r="FL67" s="78"/>
      <c r="FM67" s="78"/>
      <c r="FN67" s="78"/>
      <c r="FO67" s="146"/>
      <c r="FP67" s="78"/>
      <c r="FQ67" s="78"/>
      <c r="FR67" s="78"/>
      <c r="FS67" s="78"/>
      <c r="FT67" s="78"/>
      <c r="FU67" s="78"/>
      <c r="FV67" s="78"/>
      <c r="FW67" s="78"/>
      <c r="FX67" s="78"/>
      <c r="FY67" s="78"/>
    </row>
    <row r="68" spans="1:181" s="71" customFormat="1" ht="16.350000000000001" customHeight="1" x14ac:dyDescent="0.25">
      <c r="A68" s="109"/>
      <c r="B68" s="70"/>
      <c r="C68" s="110"/>
      <c r="D68" s="110">
        <v>1</v>
      </c>
      <c r="E68" s="146"/>
      <c r="F68" s="109" t="str">
        <f>mehrsprachigkeitBegriffsrückgabe(gewählteSpracheZurückgeben(), "Variant")</f>
        <v>Variante</v>
      </c>
      <c r="G68" s="111" t="s">
        <v>224</v>
      </c>
      <c r="H68" s="111"/>
      <c r="I68" s="111" t="s">
        <v>86</v>
      </c>
      <c r="J68" s="111" t="s">
        <v>513</v>
      </c>
      <c r="K68" s="111"/>
      <c r="L68" s="146"/>
      <c r="M68" s="149" t="s">
        <v>481</v>
      </c>
      <c r="N68" s="111" t="s">
        <v>483</v>
      </c>
      <c r="O68" s="114" t="s">
        <v>486</v>
      </c>
      <c r="P68" s="114" t="s">
        <v>496</v>
      </c>
      <c r="Q68" s="111"/>
      <c r="R68" s="111"/>
      <c r="S68" s="111"/>
      <c r="T68" s="111"/>
      <c r="U68" s="111"/>
      <c r="V68" s="111"/>
      <c r="W68" s="111"/>
      <c r="X68" s="111"/>
      <c r="Y68" s="111"/>
      <c r="Z68" s="111"/>
      <c r="AA68" s="111"/>
      <c r="AB68" s="111"/>
      <c r="AC68" s="111"/>
      <c r="AD68" s="111"/>
      <c r="AE68" s="111"/>
      <c r="AF68" s="111"/>
      <c r="AG68" s="111"/>
      <c r="AH68" s="111"/>
      <c r="AI68" s="111"/>
      <c r="AJ68" s="111"/>
      <c r="AK68" s="111"/>
      <c r="AL68" s="111"/>
      <c r="AM68" s="111"/>
      <c r="AN68" s="111"/>
      <c r="AO68" s="111"/>
      <c r="AP68" s="111"/>
      <c r="AQ68" s="111"/>
      <c r="AR68" s="111"/>
      <c r="AS68" s="111"/>
      <c r="AT68" s="111"/>
      <c r="AU68" s="111"/>
      <c r="AV68" s="111"/>
      <c r="AW68" s="111"/>
      <c r="AX68" s="111"/>
      <c r="AY68" s="111"/>
      <c r="AZ68" s="111"/>
      <c r="BA68" s="146"/>
      <c r="BB68" s="104"/>
      <c r="BC68" s="72"/>
      <c r="BD68" s="72"/>
      <c r="BE68" s="72"/>
      <c r="BF68" s="146"/>
      <c r="BG68" s="112"/>
      <c r="BH68" s="113" t="str">
        <f>mehrsprachigkeitBegriffsrückgabe(gewählteSpracheZurückgeben(), "Independent price")</f>
        <v>Eigenständiger Preis</v>
      </c>
      <c r="BI68" s="146"/>
      <c r="BJ68" s="105"/>
      <c r="BK68" s="113"/>
      <c r="BL68" s="113"/>
      <c r="BM68" s="105"/>
      <c r="BN68" s="113"/>
      <c r="BO68" s="152"/>
      <c r="BP68" s="146"/>
      <c r="BQ68" s="112"/>
      <c r="BR68" s="113"/>
      <c r="BS68" s="105"/>
      <c r="BT68" s="146"/>
      <c r="BU68" s="105"/>
      <c r="BV68" s="105"/>
      <c r="BW68" s="112"/>
      <c r="BX68" s="113"/>
      <c r="BY68" s="105"/>
      <c r="BZ68" s="113"/>
      <c r="CA68" s="113"/>
      <c r="CB68" s="105"/>
      <c r="CC68" s="113"/>
      <c r="CD68" s="152"/>
      <c r="CE68" s="112"/>
      <c r="CF68" s="113"/>
      <c r="CG68" s="105"/>
      <c r="CH68" s="146"/>
      <c r="CI68" s="105"/>
      <c r="CJ68" s="105"/>
      <c r="CK68" s="112"/>
      <c r="CL68" s="113"/>
      <c r="CM68" s="105"/>
      <c r="CN68" s="152"/>
      <c r="CO68" s="152"/>
      <c r="CP68" s="105"/>
      <c r="CQ68" s="113"/>
      <c r="CR68" s="152"/>
      <c r="CS68" s="112"/>
      <c r="CT68" s="113"/>
      <c r="CU68" s="105"/>
      <c r="CV68" s="146"/>
      <c r="CW68" s="105"/>
      <c r="CX68" s="105"/>
      <c r="CY68" s="112"/>
      <c r="CZ68" s="113"/>
      <c r="DA68" s="105"/>
      <c r="DB68" s="113"/>
      <c r="DC68" s="113"/>
      <c r="DD68" s="105"/>
      <c r="DE68" s="113"/>
      <c r="DF68" s="113"/>
      <c r="DG68" s="112"/>
      <c r="DH68" s="113"/>
      <c r="DI68" s="105"/>
      <c r="DJ68" s="146"/>
      <c r="DK68" s="105"/>
      <c r="DL68" s="105"/>
      <c r="DM68" s="112"/>
      <c r="DN68" s="113"/>
      <c r="DO68" s="105"/>
      <c r="DP68" s="113"/>
      <c r="DQ68" s="113"/>
      <c r="DR68" s="105"/>
      <c r="DS68" s="113"/>
      <c r="DT68" s="113"/>
      <c r="DU68" s="112"/>
      <c r="DV68" s="113"/>
      <c r="DW68" s="105"/>
      <c r="DX68" s="146"/>
      <c r="DY68" s="105"/>
      <c r="DZ68" s="105"/>
      <c r="EA68" s="112"/>
      <c r="EB68" s="113"/>
      <c r="EC68" s="105"/>
      <c r="ED68" s="113"/>
      <c r="EE68" s="113"/>
      <c r="EF68" s="105"/>
      <c r="EG68" s="113"/>
      <c r="EH68" s="113"/>
      <c r="EI68" s="112"/>
      <c r="EJ68" s="113"/>
      <c r="EK68" s="105"/>
      <c r="EL68" s="146"/>
      <c r="EM68" s="72"/>
      <c r="EN68" s="74"/>
      <c r="EO68" s="73"/>
      <c r="EP68" s="72"/>
      <c r="EQ68" s="72"/>
      <c r="ER68" s="75"/>
      <c r="ES68" s="76"/>
      <c r="ET68" s="77"/>
      <c r="EU68" s="77"/>
      <c r="EV68" s="78"/>
      <c r="EW68" s="72" t="s">
        <v>113</v>
      </c>
      <c r="EX68" s="72" t="s">
        <v>113</v>
      </c>
      <c r="EY68" s="72" t="s">
        <v>100</v>
      </c>
      <c r="EZ68" s="72" t="s">
        <v>114</v>
      </c>
      <c r="FA68" s="72"/>
      <c r="FB68" s="78"/>
      <c r="FC68" s="78"/>
      <c r="FD68" s="146"/>
      <c r="FE68" s="78"/>
      <c r="FF68" s="78"/>
      <c r="FG68" s="78"/>
      <c r="FH68" s="78"/>
      <c r="FI68" s="78"/>
      <c r="FJ68" s="78"/>
      <c r="FK68" s="78"/>
      <c r="FL68" s="78"/>
      <c r="FM68" s="78"/>
      <c r="FN68" s="78"/>
      <c r="FO68" s="146"/>
      <c r="FP68" s="78"/>
      <c r="FQ68" s="78"/>
      <c r="FR68" s="78"/>
      <c r="FS68" s="78"/>
      <c r="FT68" s="78"/>
      <c r="FU68" s="78"/>
      <c r="FV68" s="78"/>
      <c r="FW68" s="78"/>
      <c r="FX68" s="78"/>
      <c r="FY68" s="78"/>
    </row>
    <row r="69" spans="1:181" s="71" customFormat="1" ht="16.350000000000001" customHeight="1" x14ac:dyDescent="0.25">
      <c r="A69" s="109"/>
      <c r="B69" s="70"/>
      <c r="C69" s="110"/>
      <c r="D69" s="110">
        <v>1</v>
      </c>
      <c r="E69" s="146"/>
      <c r="F69" s="109" t="str">
        <f>mehrsprachigkeitBegriffsrückgabe(gewählteSpracheZurückgeben(), "Variant")</f>
        <v>Variante</v>
      </c>
      <c r="G69" s="111" t="s">
        <v>224</v>
      </c>
      <c r="H69" s="111"/>
      <c r="I69" s="111" t="s">
        <v>86</v>
      </c>
      <c r="J69" s="111" t="s">
        <v>513</v>
      </c>
      <c r="K69" s="111"/>
      <c r="L69" s="146"/>
      <c r="M69" s="149" t="s">
        <v>481</v>
      </c>
      <c r="N69" s="111" t="s">
        <v>483</v>
      </c>
      <c r="O69" s="114" t="s">
        <v>486</v>
      </c>
      <c r="P69" s="114" t="s">
        <v>497</v>
      </c>
      <c r="Q69" s="111"/>
      <c r="R69" s="111"/>
      <c r="S69" s="111"/>
      <c r="T69" s="111"/>
      <c r="U69" s="111"/>
      <c r="V69" s="111"/>
      <c r="W69" s="111"/>
      <c r="X69" s="111"/>
      <c r="Y69" s="111"/>
      <c r="Z69" s="111"/>
      <c r="AA69" s="111"/>
      <c r="AB69" s="111"/>
      <c r="AC69" s="111"/>
      <c r="AD69" s="111"/>
      <c r="AE69" s="111"/>
      <c r="AF69" s="111"/>
      <c r="AG69" s="111"/>
      <c r="AH69" s="111"/>
      <c r="AI69" s="111"/>
      <c r="AJ69" s="111"/>
      <c r="AK69" s="111"/>
      <c r="AL69" s="111"/>
      <c r="AM69" s="111"/>
      <c r="AN69" s="111"/>
      <c r="AO69" s="111"/>
      <c r="AP69" s="111"/>
      <c r="AQ69" s="111"/>
      <c r="AR69" s="111"/>
      <c r="AS69" s="111"/>
      <c r="AT69" s="111"/>
      <c r="AU69" s="111"/>
      <c r="AV69" s="111"/>
      <c r="AW69" s="111"/>
      <c r="AX69" s="111"/>
      <c r="AY69" s="111"/>
      <c r="AZ69" s="111"/>
      <c r="BA69" s="146"/>
      <c r="BB69" s="104"/>
      <c r="BC69" s="72"/>
      <c r="BD69" s="72"/>
      <c r="BE69" s="72"/>
      <c r="BF69" s="146"/>
      <c r="BG69" s="112"/>
      <c r="BH69" s="113" t="str">
        <f>mehrsprachigkeitBegriffsrückgabe(gewählteSpracheZurückgeben(), "Independent price")</f>
        <v>Eigenständiger Preis</v>
      </c>
      <c r="BI69" s="146"/>
      <c r="BJ69" s="105"/>
      <c r="BK69" s="113"/>
      <c r="BL69" s="113"/>
      <c r="BM69" s="105"/>
      <c r="BN69" s="113"/>
      <c r="BO69" s="152"/>
      <c r="BP69" s="146"/>
      <c r="BQ69" s="112"/>
      <c r="BR69" s="113"/>
      <c r="BS69" s="105"/>
      <c r="BT69" s="146"/>
      <c r="BU69" s="105"/>
      <c r="BV69" s="105"/>
      <c r="BW69" s="112"/>
      <c r="BX69" s="113"/>
      <c r="BY69" s="105"/>
      <c r="BZ69" s="113"/>
      <c r="CA69" s="113"/>
      <c r="CB69" s="105"/>
      <c r="CC69" s="113"/>
      <c r="CD69" s="152"/>
      <c r="CE69" s="112"/>
      <c r="CF69" s="113"/>
      <c r="CG69" s="105"/>
      <c r="CH69" s="146"/>
      <c r="CI69" s="105"/>
      <c r="CJ69" s="105"/>
      <c r="CK69" s="112"/>
      <c r="CL69" s="113"/>
      <c r="CM69" s="105"/>
      <c r="CN69" s="152"/>
      <c r="CO69" s="152"/>
      <c r="CP69" s="105"/>
      <c r="CQ69" s="113"/>
      <c r="CR69" s="152"/>
      <c r="CS69" s="112"/>
      <c r="CT69" s="113"/>
      <c r="CU69" s="105"/>
      <c r="CV69" s="146"/>
      <c r="CW69" s="105"/>
      <c r="CX69" s="105"/>
      <c r="CY69" s="112"/>
      <c r="CZ69" s="113"/>
      <c r="DA69" s="105"/>
      <c r="DB69" s="113"/>
      <c r="DC69" s="113"/>
      <c r="DD69" s="105"/>
      <c r="DE69" s="113"/>
      <c r="DF69" s="113"/>
      <c r="DG69" s="112"/>
      <c r="DH69" s="113"/>
      <c r="DI69" s="105"/>
      <c r="DJ69" s="146"/>
      <c r="DK69" s="105"/>
      <c r="DL69" s="105"/>
      <c r="DM69" s="112"/>
      <c r="DN69" s="113"/>
      <c r="DO69" s="105"/>
      <c r="DP69" s="113"/>
      <c r="DQ69" s="113"/>
      <c r="DR69" s="105"/>
      <c r="DS69" s="113"/>
      <c r="DT69" s="113"/>
      <c r="DU69" s="112"/>
      <c r="DV69" s="113"/>
      <c r="DW69" s="105"/>
      <c r="DX69" s="146"/>
      <c r="DY69" s="105"/>
      <c r="DZ69" s="105"/>
      <c r="EA69" s="112"/>
      <c r="EB69" s="113"/>
      <c r="EC69" s="105"/>
      <c r="ED69" s="113"/>
      <c r="EE69" s="113"/>
      <c r="EF69" s="105"/>
      <c r="EG69" s="113"/>
      <c r="EH69" s="113"/>
      <c r="EI69" s="112"/>
      <c r="EJ69" s="113"/>
      <c r="EK69" s="105"/>
      <c r="EL69" s="146"/>
      <c r="EM69" s="72"/>
      <c r="EN69" s="74"/>
      <c r="EO69" s="73"/>
      <c r="EP69" s="72"/>
      <c r="EQ69" s="72"/>
      <c r="ER69" s="75"/>
      <c r="ES69" s="76"/>
      <c r="ET69" s="77"/>
      <c r="EU69" s="77"/>
      <c r="EV69" s="78"/>
      <c r="EW69" s="72" t="s">
        <v>113</v>
      </c>
      <c r="EX69" s="72" t="s">
        <v>113</v>
      </c>
      <c r="EY69" s="72" t="s">
        <v>100</v>
      </c>
      <c r="EZ69" s="72" t="s">
        <v>114</v>
      </c>
      <c r="FA69" s="72"/>
      <c r="FB69" s="78"/>
      <c r="FC69" s="78"/>
      <c r="FD69" s="146"/>
      <c r="FE69" s="78"/>
      <c r="FF69" s="78"/>
      <c r="FG69" s="78"/>
      <c r="FH69" s="78"/>
      <c r="FI69" s="78"/>
      <c r="FJ69" s="78"/>
      <c r="FK69" s="78"/>
      <c r="FL69" s="78"/>
      <c r="FM69" s="78"/>
      <c r="FN69" s="78"/>
      <c r="FO69" s="146"/>
      <c r="FP69" s="78"/>
      <c r="FQ69" s="78"/>
      <c r="FR69" s="78"/>
      <c r="FS69" s="78"/>
      <c r="FT69" s="78"/>
      <c r="FU69" s="78"/>
      <c r="FV69" s="78"/>
      <c r="FW69" s="78"/>
      <c r="FX69" s="78"/>
      <c r="FY69" s="78"/>
    </row>
    <row r="70" spans="1:181" s="71" customFormat="1" ht="16.350000000000001" customHeight="1" x14ac:dyDescent="0.25">
      <c r="A70" s="109"/>
      <c r="B70" s="70"/>
      <c r="C70" s="110"/>
      <c r="D70" s="110">
        <v>1</v>
      </c>
      <c r="E70" s="146"/>
      <c r="F70" s="109" t="str">
        <f>mehrsprachigkeitBegriffsrückgabe(gewählteSpracheZurückgeben(), "Variant")</f>
        <v>Variante</v>
      </c>
      <c r="G70" s="111" t="s">
        <v>224</v>
      </c>
      <c r="H70" s="111"/>
      <c r="I70" s="111" t="s">
        <v>86</v>
      </c>
      <c r="J70" s="111" t="s">
        <v>513</v>
      </c>
      <c r="K70" s="111"/>
      <c r="L70" s="146"/>
      <c r="M70" s="149" t="s">
        <v>481</v>
      </c>
      <c r="N70" s="111" t="s">
        <v>483</v>
      </c>
      <c r="O70" s="114" t="s">
        <v>486</v>
      </c>
      <c r="P70" s="114" t="s">
        <v>498</v>
      </c>
      <c r="Q70" s="111"/>
      <c r="R70" s="111"/>
      <c r="S70" s="111"/>
      <c r="T70" s="111"/>
      <c r="U70" s="111"/>
      <c r="V70" s="111"/>
      <c r="W70" s="111"/>
      <c r="X70" s="111"/>
      <c r="Y70" s="111"/>
      <c r="Z70" s="111"/>
      <c r="AA70" s="111"/>
      <c r="AB70" s="111"/>
      <c r="AC70" s="111"/>
      <c r="AD70" s="111"/>
      <c r="AE70" s="111"/>
      <c r="AF70" s="111"/>
      <c r="AG70" s="111"/>
      <c r="AH70" s="111"/>
      <c r="AI70" s="111"/>
      <c r="AJ70" s="111"/>
      <c r="AK70" s="111"/>
      <c r="AL70" s="111"/>
      <c r="AM70" s="111"/>
      <c r="AN70" s="111"/>
      <c r="AO70" s="111"/>
      <c r="AP70" s="111"/>
      <c r="AQ70" s="111"/>
      <c r="AR70" s="111"/>
      <c r="AS70" s="111"/>
      <c r="AT70" s="111"/>
      <c r="AU70" s="111"/>
      <c r="AV70" s="111"/>
      <c r="AW70" s="111"/>
      <c r="AX70" s="111"/>
      <c r="AY70" s="111"/>
      <c r="AZ70" s="111"/>
      <c r="BA70" s="146"/>
      <c r="BB70" s="104"/>
      <c r="BC70" s="72"/>
      <c r="BD70" s="72"/>
      <c r="BE70" s="72"/>
      <c r="BF70" s="146"/>
      <c r="BG70" s="112"/>
      <c r="BH70" s="113" t="str">
        <f>mehrsprachigkeitBegriffsrückgabe(gewählteSpracheZurückgeben(), "Independent price")</f>
        <v>Eigenständiger Preis</v>
      </c>
      <c r="BI70" s="146"/>
      <c r="BJ70" s="105"/>
      <c r="BK70" s="113"/>
      <c r="BL70" s="113"/>
      <c r="BM70" s="105"/>
      <c r="BN70" s="113"/>
      <c r="BO70" s="152"/>
      <c r="BP70" s="146"/>
      <c r="BQ70" s="112"/>
      <c r="BR70" s="113"/>
      <c r="BS70" s="105"/>
      <c r="BT70" s="146"/>
      <c r="BU70" s="105"/>
      <c r="BV70" s="105"/>
      <c r="BW70" s="112"/>
      <c r="BX70" s="113"/>
      <c r="BY70" s="105"/>
      <c r="BZ70" s="113"/>
      <c r="CA70" s="113"/>
      <c r="CB70" s="105"/>
      <c r="CC70" s="113"/>
      <c r="CD70" s="152"/>
      <c r="CE70" s="112"/>
      <c r="CF70" s="113"/>
      <c r="CG70" s="105"/>
      <c r="CH70" s="146"/>
      <c r="CI70" s="105"/>
      <c r="CJ70" s="105"/>
      <c r="CK70" s="112"/>
      <c r="CL70" s="113"/>
      <c r="CM70" s="105"/>
      <c r="CN70" s="152"/>
      <c r="CO70" s="152"/>
      <c r="CP70" s="105"/>
      <c r="CQ70" s="113"/>
      <c r="CR70" s="152"/>
      <c r="CS70" s="112"/>
      <c r="CT70" s="113"/>
      <c r="CU70" s="105"/>
      <c r="CV70" s="146"/>
      <c r="CW70" s="105"/>
      <c r="CX70" s="105"/>
      <c r="CY70" s="112"/>
      <c r="CZ70" s="113"/>
      <c r="DA70" s="105"/>
      <c r="DB70" s="113"/>
      <c r="DC70" s="113"/>
      <c r="DD70" s="105"/>
      <c r="DE70" s="113"/>
      <c r="DF70" s="113"/>
      <c r="DG70" s="112"/>
      <c r="DH70" s="113"/>
      <c r="DI70" s="105"/>
      <c r="DJ70" s="146"/>
      <c r="DK70" s="105"/>
      <c r="DL70" s="105"/>
      <c r="DM70" s="112"/>
      <c r="DN70" s="113"/>
      <c r="DO70" s="105"/>
      <c r="DP70" s="113"/>
      <c r="DQ70" s="113"/>
      <c r="DR70" s="105"/>
      <c r="DS70" s="113"/>
      <c r="DT70" s="113"/>
      <c r="DU70" s="112"/>
      <c r="DV70" s="113"/>
      <c r="DW70" s="105"/>
      <c r="DX70" s="146"/>
      <c r="DY70" s="105"/>
      <c r="DZ70" s="105"/>
      <c r="EA70" s="112"/>
      <c r="EB70" s="113"/>
      <c r="EC70" s="105"/>
      <c r="ED70" s="113"/>
      <c r="EE70" s="113"/>
      <c r="EF70" s="105"/>
      <c r="EG70" s="113"/>
      <c r="EH70" s="113"/>
      <c r="EI70" s="112"/>
      <c r="EJ70" s="113"/>
      <c r="EK70" s="105"/>
      <c r="EL70" s="146"/>
      <c r="EM70" s="72"/>
      <c r="EN70" s="74"/>
      <c r="EO70" s="73"/>
      <c r="EP70" s="72"/>
      <c r="EQ70" s="72"/>
      <c r="ER70" s="75"/>
      <c r="ES70" s="76"/>
      <c r="ET70" s="77"/>
      <c r="EU70" s="77"/>
      <c r="EV70" s="78"/>
      <c r="EW70" s="72" t="s">
        <v>113</v>
      </c>
      <c r="EX70" s="72" t="s">
        <v>113</v>
      </c>
      <c r="EY70" s="72" t="s">
        <v>100</v>
      </c>
      <c r="EZ70" s="72" t="s">
        <v>114</v>
      </c>
      <c r="FA70" s="72"/>
      <c r="FB70" s="78"/>
      <c r="FC70" s="78"/>
      <c r="FD70" s="146"/>
      <c r="FE70" s="78"/>
      <c r="FF70" s="78"/>
      <c r="FG70" s="78"/>
      <c r="FH70" s="78"/>
      <c r="FI70" s="78"/>
      <c r="FJ70" s="78"/>
      <c r="FK70" s="78"/>
      <c r="FL70" s="78"/>
      <c r="FM70" s="78"/>
      <c r="FN70" s="78"/>
      <c r="FO70" s="146"/>
      <c r="FP70" s="78"/>
      <c r="FQ70" s="78"/>
      <c r="FR70" s="78"/>
      <c r="FS70" s="78"/>
      <c r="FT70" s="78"/>
      <c r="FU70" s="78"/>
      <c r="FV70" s="78"/>
      <c r="FW70" s="78"/>
      <c r="FX70" s="78"/>
      <c r="FY70" s="78"/>
    </row>
    <row r="71" spans="1:181" s="71" customFormat="1" ht="16.350000000000001" customHeight="1" x14ac:dyDescent="0.25">
      <c r="A71" s="109"/>
      <c r="B71" s="70"/>
      <c r="C71" s="110"/>
      <c r="D71" s="110">
        <v>1</v>
      </c>
      <c r="E71" s="146"/>
      <c r="F71" s="109" t="str">
        <f>mehrsprachigkeitBegriffsrückgabe(gewählteSpracheZurückgeben(), "Variant")</f>
        <v>Variante</v>
      </c>
      <c r="G71" s="111" t="s">
        <v>224</v>
      </c>
      <c r="H71" s="111"/>
      <c r="I71" s="111" t="s">
        <v>86</v>
      </c>
      <c r="J71" s="111" t="s">
        <v>513</v>
      </c>
      <c r="K71" s="111"/>
      <c r="L71" s="146"/>
      <c r="M71" s="149" t="s">
        <v>481</v>
      </c>
      <c r="N71" s="111" t="s">
        <v>483</v>
      </c>
      <c r="O71" s="114" t="s">
        <v>486</v>
      </c>
      <c r="P71" s="114" t="s">
        <v>499</v>
      </c>
      <c r="Q71" s="111"/>
      <c r="R71" s="111"/>
      <c r="S71" s="111"/>
      <c r="T71" s="111"/>
      <c r="U71" s="111"/>
      <c r="V71" s="111"/>
      <c r="W71" s="111"/>
      <c r="X71" s="111"/>
      <c r="Y71" s="111"/>
      <c r="Z71" s="111"/>
      <c r="AA71" s="111"/>
      <c r="AB71" s="111"/>
      <c r="AC71" s="111"/>
      <c r="AD71" s="111"/>
      <c r="AE71" s="111"/>
      <c r="AF71" s="111"/>
      <c r="AG71" s="111"/>
      <c r="AH71" s="111"/>
      <c r="AI71" s="111"/>
      <c r="AJ71" s="111"/>
      <c r="AK71" s="111"/>
      <c r="AL71" s="111"/>
      <c r="AM71" s="111"/>
      <c r="AN71" s="111"/>
      <c r="AO71" s="111"/>
      <c r="AP71" s="111"/>
      <c r="AQ71" s="111"/>
      <c r="AR71" s="111"/>
      <c r="AS71" s="111"/>
      <c r="AT71" s="111"/>
      <c r="AU71" s="111"/>
      <c r="AV71" s="111"/>
      <c r="AW71" s="111"/>
      <c r="AX71" s="111"/>
      <c r="AY71" s="111"/>
      <c r="AZ71" s="111"/>
      <c r="BA71" s="146"/>
      <c r="BB71" s="104"/>
      <c r="BC71" s="72"/>
      <c r="BD71" s="72"/>
      <c r="BE71" s="72"/>
      <c r="BF71" s="146"/>
      <c r="BG71" s="112"/>
      <c r="BH71" s="113" t="str">
        <f>mehrsprachigkeitBegriffsrückgabe(gewählteSpracheZurückgeben(), "Independent price")</f>
        <v>Eigenständiger Preis</v>
      </c>
      <c r="BI71" s="146"/>
      <c r="BJ71" s="105"/>
      <c r="BK71" s="113"/>
      <c r="BL71" s="113"/>
      <c r="BM71" s="105"/>
      <c r="BN71" s="113"/>
      <c r="BO71" s="152"/>
      <c r="BP71" s="146"/>
      <c r="BQ71" s="112"/>
      <c r="BR71" s="113"/>
      <c r="BS71" s="105"/>
      <c r="BT71" s="146"/>
      <c r="BU71" s="105"/>
      <c r="BV71" s="105"/>
      <c r="BW71" s="112"/>
      <c r="BX71" s="113"/>
      <c r="BY71" s="105"/>
      <c r="BZ71" s="113"/>
      <c r="CA71" s="113"/>
      <c r="CB71" s="105"/>
      <c r="CC71" s="113"/>
      <c r="CD71" s="152"/>
      <c r="CE71" s="112"/>
      <c r="CF71" s="113"/>
      <c r="CG71" s="105"/>
      <c r="CH71" s="146"/>
      <c r="CI71" s="105"/>
      <c r="CJ71" s="105"/>
      <c r="CK71" s="112"/>
      <c r="CL71" s="113"/>
      <c r="CM71" s="105"/>
      <c r="CN71" s="152"/>
      <c r="CO71" s="152"/>
      <c r="CP71" s="105"/>
      <c r="CQ71" s="113"/>
      <c r="CR71" s="152"/>
      <c r="CS71" s="112"/>
      <c r="CT71" s="113"/>
      <c r="CU71" s="105"/>
      <c r="CV71" s="146"/>
      <c r="CW71" s="105"/>
      <c r="CX71" s="105"/>
      <c r="CY71" s="112"/>
      <c r="CZ71" s="113"/>
      <c r="DA71" s="105"/>
      <c r="DB71" s="113"/>
      <c r="DC71" s="113"/>
      <c r="DD71" s="105"/>
      <c r="DE71" s="113"/>
      <c r="DF71" s="113"/>
      <c r="DG71" s="112"/>
      <c r="DH71" s="113"/>
      <c r="DI71" s="105"/>
      <c r="DJ71" s="146"/>
      <c r="DK71" s="105"/>
      <c r="DL71" s="105"/>
      <c r="DM71" s="112"/>
      <c r="DN71" s="113"/>
      <c r="DO71" s="105"/>
      <c r="DP71" s="113"/>
      <c r="DQ71" s="113"/>
      <c r="DR71" s="105"/>
      <c r="DS71" s="113"/>
      <c r="DT71" s="113"/>
      <c r="DU71" s="112"/>
      <c r="DV71" s="113"/>
      <c r="DW71" s="105"/>
      <c r="DX71" s="146"/>
      <c r="DY71" s="105"/>
      <c r="DZ71" s="105"/>
      <c r="EA71" s="112"/>
      <c r="EB71" s="113"/>
      <c r="EC71" s="105"/>
      <c r="ED71" s="113"/>
      <c r="EE71" s="113"/>
      <c r="EF71" s="105"/>
      <c r="EG71" s="113"/>
      <c r="EH71" s="113"/>
      <c r="EI71" s="112"/>
      <c r="EJ71" s="113"/>
      <c r="EK71" s="105"/>
      <c r="EL71" s="146"/>
      <c r="EM71" s="72"/>
      <c r="EN71" s="74"/>
      <c r="EO71" s="73"/>
      <c r="EP71" s="72"/>
      <c r="EQ71" s="72"/>
      <c r="ER71" s="75"/>
      <c r="ES71" s="76"/>
      <c r="ET71" s="77"/>
      <c r="EU71" s="77"/>
      <c r="EV71" s="78"/>
      <c r="EW71" s="72" t="s">
        <v>113</v>
      </c>
      <c r="EX71" s="72" t="s">
        <v>113</v>
      </c>
      <c r="EY71" s="72" t="s">
        <v>100</v>
      </c>
      <c r="EZ71" s="72" t="s">
        <v>114</v>
      </c>
      <c r="FA71" s="72"/>
      <c r="FB71" s="78"/>
      <c r="FC71" s="78"/>
      <c r="FD71" s="146"/>
      <c r="FE71" s="78"/>
      <c r="FF71" s="78"/>
      <c r="FG71" s="78"/>
      <c r="FH71" s="78"/>
      <c r="FI71" s="78"/>
      <c r="FJ71" s="78"/>
      <c r="FK71" s="78"/>
      <c r="FL71" s="78"/>
      <c r="FM71" s="78"/>
      <c r="FN71" s="78"/>
      <c r="FO71" s="146"/>
      <c r="FP71" s="78"/>
      <c r="FQ71" s="78"/>
      <c r="FR71" s="78"/>
      <c r="FS71" s="78"/>
      <c r="FT71" s="78"/>
      <c r="FU71" s="78"/>
      <c r="FV71" s="78"/>
      <c r="FW71" s="78"/>
      <c r="FX71" s="78"/>
      <c r="FY71" s="78"/>
    </row>
    <row r="72" spans="1:181" s="71" customFormat="1" ht="16.350000000000001" customHeight="1" x14ac:dyDescent="0.25">
      <c r="A72" s="109"/>
      <c r="B72" s="70"/>
      <c r="C72" s="110"/>
      <c r="D72" s="110">
        <v>1</v>
      </c>
      <c r="E72" s="146"/>
      <c r="F72" s="109" t="str">
        <f>mehrsprachigkeitBegriffsrückgabe(gewählteSpracheZurückgeben(), "Variant")</f>
        <v>Variante</v>
      </c>
      <c r="G72" s="111" t="s">
        <v>224</v>
      </c>
      <c r="H72" s="111"/>
      <c r="I72" s="111" t="s">
        <v>86</v>
      </c>
      <c r="J72" s="111" t="s">
        <v>513</v>
      </c>
      <c r="K72" s="111"/>
      <c r="L72" s="146"/>
      <c r="M72" s="149" t="s">
        <v>481</v>
      </c>
      <c r="N72" s="111" t="s">
        <v>483</v>
      </c>
      <c r="O72" s="114" t="s">
        <v>486</v>
      </c>
      <c r="P72" s="114" t="s">
        <v>500</v>
      </c>
      <c r="Q72" s="111"/>
      <c r="R72" s="111"/>
      <c r="S72" s="111"/>
      <c r="T72" s="111"/>
      <c r="U72" s="111"/>
      <c r="V72" s="111"/>
      <c r="W72" s="111"/>
      <c r="X72" s="111"/>
      <c r="Y72" s="111"/>
      <c r="Z72" s="111"/>
      <c r="AA72" s="111"/>
      <c r="AB72" s="111"/>
      <c r="AC72" s="111"/>
      <c r="AD72" s="111"/>
      <c r="AE72" s="111"/>
      <c r="AF72" s="111"/>
      <c r="AG72" s="111"/>
      <c r="AH72" s="111"/>
      <c r="AI72" s="111"/>
      <c r="AJ72" s="111"/>
      <c r="AK72" s="111"/>
      <c r="AL72" s="111"/>
      <c r="AM72" s="111"/>
      <c r="AN72" s="111"/>
      <c r="AO72" s="111"/>
      <c r="AP72" s="111"/>
      <c r="AQ72" s="111"/>
      <c r="AR72" s="111"/>
      <c r="AS72" s="111"/>
      <c r="AT72" s="111"/>
      <c r="AU72" s="111"/>
      <c r="AV72" s="111"/>
      <c r="AW72" s="111"/>
      <c r="AX72" s="111"/>
      <c r="AY72" s="111"/>
      <c r="AZ72" s="111"/>
      <c r="BA72" s="146"/>
      <c r="BB72" s="104"/>
      <c r="BC72" s="72"/>
      <c r="BD72" s="72"/>
      <c r="BE72" s="72"/>
      <c r="BF72" s="146"/>
      <c r="BG72" s="112"/>
      <c r="BH72" s="113" t="str">
        <f>mehrsprachigkeitBegriffsrückgabe(gewählteSpracheZurückgeben(), "Independent price")</f>
        <v>Eigenständiger Preis</v>
      </c>
      <c r="BI72" s="146"/>
      <c r="BJ72" s="105"/>
      <c r="BK72" s="113"/>
      <c r="BL72" s="113"/>
      <c r="BM72" s="105"/>
      <c r="BN72" s="113"/>
      <c r="BO72" s="152"/>
      <c r="BP72" s="146"/>
      <c r="BQ72" s="112"/>
      <c r="BR72" s="113"/>
      <c r="BS72" s="105"/>
      <c r="BT72" s="146"/>
      <c r="BU72" s="105"/>
      <c r="BV72" s="105"/>
      <c r="BW72" s="112"/>
      <c r="BX72" s="113"/>
      <c r="BY72" s="105"/>
      <c r="BZ72" s="113"/>
      <c r="CA72" s="113"/>
      <c r="CB72" s="105"/>
      <c r="CC72" s="113"/>
      <c r="CD72" s="152"/>
      <c r="CE72" s="112"/>
      <c r="CF72" s="113"/>
      <c r="CG72" s="105"/>
      <c r="CH72" s="146"/>
      <c r="CI72" s="105"/>
      <c r="CJ72" s="105"/>
      <c r="CK72" s="112"/>
      <c r="CL72" s="113"/>
      <c r="CM72" s="105"/>
      <c r="CN72" s="152"/>
      <c r="CO72" s="152"/>
      <c r="CP72" s="105"/>
      <c r="CQ72" s="113"/>
      <c r="CR72" s="152"/>
      <c r="CS72" s="112"/>
      <c r="CT72" s="113"/>
      <c r="CU72" s="105"/>
      <c r="CV72" s="146"/>
      <c r="CW72" s="105"/>
      <c r="CX72" s="105"/>
      <c r="CY72" s="112"/>
      <c r="CZ72" s="113"/>
      <c r="DA72" s="105"/>
      <c r="DB72" s="113"/>
      <c r="DC72" s="113"/>
      <c r="DD72" s="105"/>
      <c r="DE72" s="113"/>
      <c r="DF72" s="113"/>
      <c r="DG72" s="112"/>
      <c r="DH72" s="113"/>
      <c r="DI72" s="105"/>
      <c r="DJ72" s="146"/>
      <c r="DK72" s="105"/>
      <c r="DL72" s="105"/>
      <c r="DM72" s="112"/>
      <c r="DN72" s="113"/>
      <c r="DO72" s="105"/>
      <c r="DP72" s="113"/>
      <c r="DQ72" s="113"/>
      <c r="DR72" s="105"/>
      <c r="DS72" s="113"/>
      <c r="DT72" s="113"/>
      <c r="DU72" s="112"/>
      <c r="DV72" s="113"/>
      <c r="DW72" s="105"/>
      <c r="DX72" s="146"/>
      <c r="DY72" s="105"/>
      <c r="DZ72" s="105"/>
      <c r="EA72" s="112"/>
      <c r="EB72" s="113"/>
      <c r="EC72" s="105"/>
      <c r="ED72" s="113"/>
      <c r="EE72" s="113"/>
      <c r="EF72" s="105"/>
      <c r="EG72" s="113"/>
      <c r="EH72" s="113"/>
      <c r="EI72" s="112"/>
      <c r="EJ72" s="113"/>
      <c r="EK72" s="105"/>
      <c r="EL72" s="146"/>
      <c r="EM72" s="72"/>
      <c r="EN72" s="74"/>
      <c r="EO72" s="73"/>
      <c r="EP72" s="72"/>
      <c r="EQ72" s="72"/>
      <c r="ER72" s="75"/>
      <c r="ES72" s="76"/>
      <c r="ET72" s="77"/>
      <c r="EU72" s="77"/>
      <c r="EV72" s="78"/>
      <c r="EW72" s="72" t="s">
        <v>113</v>
      </c>
      <c r="EX72" s="72" t="s">
        <v>113</v>
      </c>
      <c r="EY72" s="72" t="s">
        <v>100</v>
      </c>
      <c r="EZ72" s="72" t="s">
        <v>114</v>
      </c>
      <c r="FA72" s="72"/>
      <c r="FB72" s="78"/>
      <c r="FC72" s="78"/>
      <c r="FD72" s="146"/>
      <c r="FE72" s="78"/>
      <c r="FF72" s="78"/>
      <c r="FG72" s="78"/>
      <c r="FH72" s="78"/>
      <c r="FI72" s="78"/>
      <c r="FJ72" s="78"/>
      <c r="FK72" s="78"/>
      <c r="FL72" s="78"/>
      <c r="FM72" s="78"/>
      <c r="FN72" s="78"/>
      <c r="FO72" s="146"/>
      <c r="FP72" s="78"/>
      <c r="FQ72" s="78"/>
      <c r="FR72" s="78"/>
      <c r="FS72" s="78"/>
      <c r="FT72" s="78"/>
      <c r="FU72" s="78"/>
      <c r="FV72" s="78"/>
      <c r="FW72" s="78"/>
      <c r="FX72" s="78"/>
      <c r="FY72" s="78"/>
    </row>
    <row r="73" spans="1:181" s="71" customFormat="1" ht="16.350000000000001" customHeight="1" x14ac:dyDescent="0.25">
      <c r="A73" s="109"/>
      <c r="B73" s="70"/>
      <c r="C73" s="110"/>
      <c r="D73" s="110">
        <v>1</v>
      </c>
      <c r="E73" s="146"/>
      <c r="F73" s="109" t="str">
        <f>mehrsprachigkeitBegriffsrückgabe(gewählteSpracheZurückgeben(), "Variant")</f>
        <v>Variante</v>
      </c>
      <c r="G73" s="111" t="s">
        <v>224</v>
      </c>
      <c r="H73" s="111"/>
      <c r="I73" s="111" t="s">
        <v>86</v>
      </c>
      <c r="J73" s="111" t="s">
        <v>513</v>
      </c>
      <c r="K73" s="111"/>
      <c r="L73" s="146"/>
      <c r="M73" s="149" t="s">
        <v>481</v>
      </c>
      <c r="N73" s="111" t="s">
        <v>483</v>
      </c>
      <c r="O73" s="114" t="s">
        <v>486</v>
      </c>
      <c r="P73" s="114" t="s">
        <v>502</v>
      </c>
      <c r="Q73" s="111"/>
      <c r="R73" s="111"/>
      <c r="S73" s="111"/>
      <c r="T73" s="111"/>
      <c r="U73" s="111"/>
      <c r="V73" s="111"/>
      <c r="W73" s="111"/>
      <c r="X73" s="111"/>
      <c r="Y73" s="111"/>
      <c r="Z73" s="111"/>
      <c r="AA73" s="111"/>
      <c r="AB73" s="111"/>
      <c r="AC73" s="111"/>
      <c r="AD73" s="111"/>
      <c r="AE73" s="111"/>
      <c r="AF73" s="111"/>
      <c r="AG73" s="111"/>
      <c r="AH73" s="111"/>
      <c r="AI73" s="111"/>
      <c r="AJ73" s="111"/>
      <c r="AK73" s="111"/>
      <c r="AL73" s="111"/>
      <c r="AM73" s="111"/>
      <c r="AN73" s="111"/>
      <c r="AO73" s="111"/>
      <c r="AP73" s="111"/>
      <c r="AQ73" s="111"/>
      <c r="AR73" s="111"/>
      <c r="AS73" s="111"/>
      <c r="AT73" s="111"/>
      <c r="AU73" s="111"/>
      <c r="AV73" s="111"/>
      <c r="AW73" s="111"/>
      <c r="AX73" s="111"/>
      <c r="AY73" s="111"/>
      <c r="AZ73" s="111"/>
      <c r="BA73" s="146"/>
      <c r="BB73" s="104"/>
      <c r="BC73" s="72"/>
      <c r="BD73" s="72"/>
      <c r="BE73" s="72"/>
      <c r="BF73" s="146"/>
      <c r="BG73" s="112"/>
      <c r="BH73" s="113" t="str">
        <f>mehrsprachigkeitBegriffsrückgabe(gewählteSpracheZurückgeben(), "Independent price")</f>
        <v>Eigenständiger Preis</v>
      </c>
      <c r="BI73" s="146"/>
      <c r="BJ73" s="105"/>
      <c r="BK73" s="113"/>
      <c r="BL73" s="113"/>
      <c r="BM73" s="105"/>
      <c r="BN73" s="113"/>
      <c r="BO73" s="152"/>
      <c r="BP73" s="146"/>
      <c r="BQ73" s="112"/>
      <c r="BR73" s="113"/>
      <c r="BS73" s="105"/>
      <c r="BT73" s="146"/>
      <c r="BU73" s="105"/>
      <c r="BV73" s="105"/>
      <c r="BW73" s="112"/>
      <c r="BX73" s="113"/>
      <c r="BY73" s="105"/>
      <c r="BZ73" s="113"/>
      <c r="CA73" s="113"/>
      <c r="CB73" s="105"/>
      <c r="CC73" s="113"/>
      <c r="CD73" s="152"/>
      <c r="CE73" s="112"/>
      <c r="CF73" s="113"/>
      <c r="CG73" s="105"/>
      <c r="CH73" s="146"/>
      <c r="CI73" s="105"/>
      <c r="CJ73" s="105"/>
      <c r="CK73" s="112"/>
      <c r="CL73" s="113"/>
      <c r="CM73" s="105"/>
      <c r="CN73" s="152"/>
      <c r="CO73" s="152"/>
      <c r="CP73" s="105"/>
      <c r="CQ73" s="113"/>
      <c r="CR73" s="152"/>
      <c r="CS73" s="112"/>
      <c r="CT73" s="113"/>
      <c r="CU73" s="105"/>
      <c r="CV73" s="146"/>
      <c r="CW73" s="105"/>
      <c r="CX73" s="105"/>
      <c r="CY73" s="112"/>
      <c r="CZ73" s="113"/>
      <c r="DA73" s="105"/>
      <c r="DB73" s="113"/>
      <c r="DC73" s="113"/>
      <c r="DD73" s="105"/>
      <c r="DE73" s="113"/>
      <c r="DF73" s="113"/>
      <c r="DG73" s="112"/>
      <c r="DH73" s="113"/>
      <c r="DI73" s="105"/>
      <c r="DJ73" s="146"/>
      <c r="DK73" s="105"/>
      <c r="DL73" s="105"/>
      <c r="DM73" s="112"/>
      <c r="DN73" s="113"/>
      <c r="DO73" s="105"/>
      <c r="DP73" s="113"/>
      <c r="DQ73" s="113"/>
      <c r="DR73" s="105"/>
      <c r="DS73" s="113"/>
      <c r="DT73" s="113"/>
      <c r="DU73" s="112"/>
      <c r="DV73" s="113"/>
      <c r="DW73" s="105"/>
      <c r="DX73" s="146"/>
      <c r="DY73" s="105"/>
      <c r="DZ73" s="105"/>
      <c r="EA73" s="112"/>
      <c r="EB73" s="113"/>
      <c r="EC73" s="105"/>
      <c r="ED73" s="113"/>
      <c r="EE73" s="113"/>
      <c r="EF73" s="105"/>
      <c r="EG73" s="113"/>
      <c r="EH73" s="113"/>
      <c r="EI73" s="112"/>
      <c r="EJ73" s="113"/>
      <c r="EK73" s="105"/>
      <c r="EL73" s="146"/>
      <c r="EM73" s="72"/>
      <c r="EN73" s="74"/>
      <c r="EO73" s="73"/>
      <c r="EP73" s="72"/>
      <c r="EQ73" s="72"/>
      <c r="ER73" s="75"/>
      <c r="ES73" s="76"/>
      <c r="ET73" s="77"/>
      <c r="EU73" s="77"/>
      <c r="EV73" s="78"/>
      <c r="EW73" s="72" t="s">
        <v>113</v>
      </c>
      <c r="EX73" s="72" t="s">
        <v>113</v>
      </c>
      <c r="EY73" s="72" t="s">
        <v>100</v>
      </c>
      <c r="EZ73" s="72" t="s">
        <v>114</v>
      </c>
      <c r="FA73" s="72"/>
      <c r="FB73" s="78"/>
      <c r="FC73" s="78"/>
      <c r="FD73" s="146"/>
      <c r="FE73" s="78"/>
      <c r="FF73" s="78"/>
      <c r="FG73" s="78"/>
      <c r="FH73" s="78"/>
      <c r="FI73" s="78"/>
      <c r="FJ73" s="78"/>
      <c r="FK73" s="78"/>
      <c r="FL73" s="78"/>
      <c r="FM73" s="78"/>
      <c r="FN73" s="78"/>
      <c r="FO73" s="146"/>
      <c r="FP73" s="78"/>
      <c r="FQ73" s="78"/>
      <c r="FR73" s="78"/>
      <c r="FS73" s="78"/>
      <c r="FT73" s="78"/>
      <c r="FU73" s="78"/>
      <c r="FV73" s="78"/>
      <c r="FW73" s="78"/>
      <c r="FX73" s="78"/>
      <c r="FY73" s="78"/>
    </row>
    <row r="74" spans="1:181" s="71" customFormat="1" ht="16.350000000000001" customHeight="1" x14ac:dyDescent="0.25">
      <c r="A74" s="109"/>
      <c r="B74" s="70"/>
      <c r="C74" s="110"/>
      <c r="D74" s="110">
        <v>1</v>
      </c>
      <c r="E74" s="146"/>
      <c r="F74" s="109" t="str">
        <f>mehrsprachigkeitBegriffsrückgabe(gewählteSpracheZurückgeben(), "Variant")</f>
        <v>Variante</v>
      </c>
      <c r="G74" s="111" t="s">
        <v>224</v>
      </c>
      <c r="H74" s="111"/>
      <c r="I74" s="111" t="s">
        <v>86</v>
      </c>
      <c r="J74" s="111" t="s">
        <v>513</v>
      </c>
      <c r="K74" s="111"/>
      <c r="L74" s="146"/>
      <c r="M74" s="149" t="s">
        <v>481</v>
      </c>
      <c r="N74" s="111" t="s">
        <v>483</v>
      </c>
      <c r="O74" s="114" t="s">
        <v>486</v>
      </c>
      <c r="P74" s="114" t="s">
        <v>504</v>
      </c>
      <c r="Q74" s="111"/>
      <c r="R74" s="111"/>
      <c r="S74" s="111"/>
      <c r="T74" s="111"/>
      <c r="U74" s="111"/>
      <c r="V74" s="111"/>
      <c r="W74" s="111"/>
      <c r="X74" s="111"/>
      <c r="Y74" s="111"/>
      <c r="Z74" s="111"/>
      <c r="AA74" s="111"/>
      <c r="AB74" s="111"/>
      <c r="AC74" s="111"/>
      <c r="AD74" s="111"/>
      <c r="AE74" s="111"/>
      <c r="AF74" s="111"/>
      <c r="AG74" s="111"/>
      <c r="AH74" s="111"/>
      <c r="AI74" s="111"/>
      <c r="AJ74" s="111"/>
      <c r="AK74" s="111"/>
      <c r="AL74" s="111"/>
      <c r="AM74" s="111"/>
      <c r="AN74" s="111"/>
      <c r="AO74" s="111"/>
      <c r="AP74" s="111"/>
      <c r="AQ74" s="111"/>
      <c r="AR74" s="111"/>
      <c r="AS74" s="111"/>
      <c r="AT74" s="111"/>
      <c r="AU74" s="111"/>
      <c r="AV74" s="111"/>
      <c r="AW74" s="111"/>
      <c r="AX74" s="111"/>
      <c r="AY74" s="111"/>
      <c r="AZ74" s="111"/>
      <c r="BA74" s="146"/>
      <c r="BB74" s="104"/>
      <c r="BC74" s="72"/>
      <c r="BD74" s="72"/>
      <c r="BE74" s="72"/>
      <c r="BF74" s="146"/>
      <c r="BG74" s="112"/>
      <c r="BH74" s="113" t="str">
        <f>mehrsprachigkeitBegriffsrückgabe(gewählteSpracheZurückgeben(), "Independent price")</f>
        <v>Eigenständiger Preis</v>
      </c>
      <c r="BI74" s="146"/>
      <c r="BJ74" s="105"/>
      <c r="BK74" s="113"/>
      <c r="BL74" s="113"/>
      <c r="BM74" s="105"/>
      <c r="BN74" s="113"/>
      <c r="BO74" s="152"/>
      <c r="BP74" s="146"/>
      <c r="BQ74" s="112"/>
      <c r="BR74" s="113"/>
      <c r="BS74" s="105"/>
      <c r="BT74" s="146"/>
      <c r="BU74" s="105"/>
      <c r="BV74" s="105"/>
      <c r="BW74" s="112"/>
      <c r="BX74" s="113"/>
      <c r="BY74" s="105"/>
      <c r="BZ74" s="113"/>
      <c r="CA74" s="113"/>
      <c r="CB74" s="105"/>
      <c r="CC74" s="113"/>
      <c r="CD74" s="152"/>
      <c r="CE74" s="112"/>
      <c r="CF74" s="113"/>
      <c r="CG74" s="105"/>
      <c r="CH74" s="146"/>
      <c r="CI74" s="105"/>
      <c r="CJ74" s="105"/>
      <c r="CK74" s="112"/>
      <c r="CL74" s="113"/>
      <c r="CM74" s="105"/>
      <c r="CN74" s="152"/>
      <c r="CO74" s="152"/>
      <c r="CP74" s="105"/>
      <c r="CQ74" s="113"/>
      <c r="CR74" s="152"/>
      <c r="CS74" s="112"/>
      <c r="CT74" s="113"/>
      <c r="CU74" s="105"/>
      <c r="CV74" s="146"/>
      <c r="CW74" s="105"/>
      <c r="CX74" s="105"/>
      <c r="CY74" s="112"/>
      <c r="CZ74" s="113"/>
      <c r="DA74" s="105"/>
      <c r="DB74" s="113"/>
      <c r="DC74" s="113"/>
      <c r="DD74" s="105"/>
      <c r="DE74" s="113"/>
      <c r="DF74" s="113"/>
      <c r="DG74" s="112"/>
      <c r="DH74" s="113"/>
      <c r="DI74" s="105"/>
      <c r="DJ74" s="146"/>
      <c r="DK74" s="105"/>
      <c r="DL74" s="105"/>
      <c r="DM74" s="112"/>
      <c r="DN74" s="113"/>
      <c r="DO74" s="105"/>
      <c r="DP74" s="113"/>
      <c r="DQ74" s="113"/>
      <c r="DR74" s="105"/>
      <c r="DS74" s="113"/>
      <c r="DT74" s="113"/>
      <c r="DU74" s="112"/>
      <c r="DV74" s="113"/>
      <c r="DW74" s="105"/>
      <c r="DX74" s="146"/>
      <c r="DY74" s="105"/>
      <c r="DZ74" s="105"/>
      <c r="EA74" s="112"/>
      <c r="EB74" s="113"/>
      <c r="EC74" s="105"/>
      <c r="ED74" s="113"/>
      <c r="EE74" s="113"/>
      <c r="EF74" s="105"/>
      <c r="EG74" s="113"/>
      <c r="EH74" s="113"/>
      <c r="EI74" s="112"/>
      <c r="EJ74" s="113"/>
      <c r="EK74" s="105"/>
      <c r="EL74" s="146"/>
      <c r="EM74" s="72"/>
      <c r="EN74" s="74"/>
      <c r="EO74" s="73"/>
      <c r="EP74" s="72"/>
      <c r="EQ74" s="72"/>
      <c r="ER74" s="75"/>
      <c r="ES74" s="76"/>
      <c r="ET74" s="77"/>
      <c r="EU74" s="77"/>
      <c r="EV74" s="78"/>
      <c r="EW74" s="72" t="s">
        <v>113</v>
      </c>
      <c r="EX74" s="72" t="s">
        <v>113</v>
      </c>
      <c r="EY74" s="72" t="s">
        <v>100</v>
      </c>
      <c r="EZ74" s="72" t="s">
        <v>114</v>
      </c>
      <c r="FA74" s="72"/>
      <c r="FB74" s="78"/>
      <c r="FC74" s="78"/>
      <c r="FD74" s="146"/>
      <c r="FE74" s="78"/>
      <c r="FF74" s="78"/>
      <c r="FG74" s="78"/>
      <c r="FH74" s="78"/>
      <c r="FI74" s="78"/>
      <c r="FJ74" s="78"/>
      <c r="FK74" s="78"/>
      <c r="FL74" s="78"/>
      <c r="FM74" s="78"/>
      <c r="FN74" s="78"/>
      <c r="FO74" s="146"/>
      <c r="FP74" s="78"/>
      <c r="FQ74" s="78"/>
      <c r="FR74" s="78"/>
      <c r="FS74" s="78"/>
      <c r="FT74" s="78"/>
      <c r="FU74" s="78"/>
      <c r="FV74" s="78"/>
      <c r="FW74" s="78"/>
      <c r="FX74" s="78"/>
      <c r="FY74" s="78"/>
    </row>
    <row r="75" spans="1:181" s="71" customFormat="1" ht="16.350000000000001" customHeight="1" x14ac:dyDescent="0.25">
      <c r="A75" s="109"/>
      <c r="B75" s="70"/>
      <c r="C75" s="110"/>
      <c r="D75" s="110"/>
      <c r="E75" s="146"/>
      <c r="F75" s="109" t="str">
        <f>mehrsprachigkeitBegriffsrückgabe(gewählteSpracheZurückgeben(), "Product (foreign language)")</f>
        <v>Produkt (Fremdsprache)</v>
      </c>
      <c r="G75" s="111"/>
      <c r="H75" s="111" t="s">
        <v>224</v>
      </c>
      <c r="I75" s="111" t="s">
        <v>94</v>
      </c>
      <c r="J75" s="111" t="s">
        <v>432</v>
      </c>
      <c r="K75" s="111"/>
      <c r="L75" s="146"/>
      <c r="M75" s="149"/>
      <c r="N75" s="111"/>
      <c r="O75" s="111"/>
      <c r="P75" s="111"/>
      <c r="Q75" s="111"/>
      <c r="R75" s="111"/>
      <c r="S75" s="111"/>
      <c r="T75" s="111"/>
      <c r="U75" s="111"/>
      <c r="V75" s="111"/>
      <c r="W75" s="111"/>
      <c r="X75" s="111"/>
      <c r="Y75" s="111"/>
      <c r="Z75" s="111"/>
      <c r="AA75" s="111"/>
      <c r="AB75" s="111"/>
      <c r="AC75" s="111"/>
      <c r="AD75" s="111"/>
      <c r="AE75" s="111"/>
      <c r="AF75" s="111"/>
      <c r="AG75" s="111"/>
      <c r="AH75" s="111"/>
      <c r="AI75" s="111"/>
      <c r="AJ75" s="111"/>
      <c r="AK75" s="111"/>
      <c r="AL75" s="111"/>
      <c r="AM75" s="111"/>
      <c r="AN75" s="111"/>
      <c r="AO75" s="111"/>
      <c r="AP75" s="111"/>
      <c r="AQ75" s="111"/>
      <c r="AR75" s="111"/>
      <c r="AS75" s="111"/>
      <c r="AT75" s="111"/>
      <c r="AU75" s="111"/>
      <c r="AV75" s="111"/>
      <c r="AW75" s="111"/>
      <c r="AX75" s="111"/>
      <c r="AY75" s="111"/>
      <c r="AZ75" s="111"/>
      <c r="BA75" s="146"/>
      <c r="BB75" s="104" t="s">
        <v>99</v>
      </c>
      <c r="BC75" s="72" t="s">
        <v>95</v>
      </c>
      <c r="BD75" s="72"/>
      <c r="BE75" s="72"/>
      <c r="BF75" s="146"/>
      <c r="BG75" s="112"/>
      <c r="BH75" s="113"/>
      <c r="BI75" s="146"/>
      <c r="BJ75" s="105"/>
      <c r="BK75" s="113"/>
      <c r="BL75" s="113"/>
      <c r="BM75" s="105"/>
      <c r="BN75" s="113"/>
      <c r="BO75" s="113"/>
      <c r="BP75" s="146"/>
      <c r="BQ75" s="112" t="s">
        <v>113</v>
      </c>
      <c r="BR75" s="113"/>
      <c r="BS75" s="105"/>
      <c r="BT75" s="146"/>
      <c r="BU75" s="105"/>
      <c r="BV75" s="105"/>
      <c r="BW75" s="112"/>
      <c r="BX75" s="113"/>
      <c r="BY75" s="105"/>
      <c r="BZ75" s="113"/>
      <c r="CA75" s="113"/>
      <c r="CB75" s="105"/>
      <c r="CC75" s="113"/>
      <c r="CD75" s="113"/>
      <c r="CE75" s="112"/>
      <c r="CF75" s="113"/>
      <c r="CG75" s="105"/>
      <c r="CH75" s="146"/>
      <c r="CI75" s="105"/>
      <c r="CJ75" s="105"/>
      <c r="CK75" s="112"/>
      <c r="CL75" s="113"/>
      <c r="CM75" s="105"/>
      <c r="CN75" s="113"/>
      <c r="CO75" s="113"/>
      <c r="CP75" s="105"/>
      <c r="CQ75" s="113"/>
      <c r="CR75" s="113"/>
      <c r="CS75" s="112"/>
      <c r="CT75" s="113"/>
      <c r="CU75" s="105"/>
      <c r="CV75" s="146"/>
      <c r="CW75" s="105"/>
      <c r="CX75" s="105"/>
      <c r="CY75" s="112"/>
      <c r="CZ75" s="113"/>
      <c r="DA75" s="105"/>
      <c r="DB75" s="113"/>
      <c r="DC75" s="113"/>
      <c r="DD75" s="105"/>
      <c r="DE75" s="113"/>
      <c r="DF75" s="113"/>
      <c r="DG75" s="112"/>
      <c r="DH75" s="113"/>
      <c r="DI75" s="105"/>
      <c r="DJ75" s="146"/>
      <c r="DK75" s="105"/>
      <c r="DL75" s="105"/>
      <c r="DM75" s="112"/>
      <c r="DN75" s="113"/>
      <c r="DO75" s="105"/>
      <c r="DP75" s="113"/>
      <c r="DQ75" s="113"/>
      <c r="DR75" s="105"/>
      <c r="DS75" s="113"/>
      <c r="DT75" s="113"/>
      <c r="DU75" s="112"/>
      <c r="DV75" s="113"/>
      <c r="DW75" s="105"/>
      <c r="DX75" s="146"/>
      <c r="DY75" s="105"/>
      <c r="DZ75" s="105"/>
      <c r="EA75" s="112"/>
      <c r="EB75" s="113"/>
      <c r="EC75" s="105"/>
      <c r="ED75" s="113"/>
      <c r="EE75" s="113"/>
      <c r="EF75" s="105"/>
      <c r="EG75" s="113"/>
      <c r="EH75" s="113"/>
      <c r="EI75" s="112"/>
      <c r="EJ75" s="113"/>
      <c r="EK75" s="105"/>
      <c r="EL75" s="146"/>
      <c r="EM75" s="72"/>
      <c r="EN75" s="74"/>
      <c r="EO75" s="73"/>
      <c r="EP75" s="72" t="s">
        <v>96</v>
      </c>
      <c r="EQ75" s="72"/>
      <c r="ER75" s="75"/>
      <c r="ES75" s="76"/>
      <c r="ET75" s="77"/>
      <c r="EU75" s="77"/>
      <c r="EV75" s="78"/>
      <c r="EW75" s="72"/>
      <c r="EX75" s="72"/>
      <c r="EY75" s="72"/>
      <c r="EZ75" s="72"/>
      <c r="FA75" s="72"/>
      <c r="FB75" s="78"/>
      <c r="FC75" s="78"/>
      <c r="FD75" s="146"/>
      <c r="FE75" s="78"/>
      <c r="FF75" s="78"/>
      <c r="FG75" s="78"/>
      <c r="FO75" s="146"/>
      <c r="FP75" s="78"/>
      <c r="FQ75" s="78"/>
      <c r="FR75" s="78"/>
    </row>
    <row r="76" spans="1:181" s="71" customFormat="1" ht="16.350000000000001" customHeight="1" x14ac:dyDescent="0.25">
      <c r="A76" s="109"/>
      <c r="B76" s="70"/>
      <c r="C76" s="110"/>
      <c r="D76" s="110">
        <v>1</v>
      </c>
      <c r="E76" s="146"/>
      <c r="F76" s="109" t="str">
        <f>mehrsprachigkeitBegriffsrückgabe(gewählteSpracheZurückgeben(), "Product")</f>
        <v>Produkt</v>
      </c>
      <c r="G76" s="111" t="s">
        <v>225</v>
      </c>
      <c r="H76" s="111"/>
      <c r="I76" s="111" t="s">
        <v>86</v>
      </c>
      <c r="J76" s="111" t="s">
        <v>433</v>
      </c>
      <c r="K76" s="111"/>
      <c r="L76" s="146"/>
      <c r="M76" s="149" t="s">
        <v>392</v>
      </c>
      <c r="N76" s="111" t="s">
        <v>399</v>
      </c>
      <c r="O76" s="114"/>
      <c r="P76" s="114"/>
      <c r="Q76" s="111"/>
      <c r="R76" s="111"/>
      <c r="S76" s="111"/>
      <c r="T76" s="111"/>
      <c r="U76" s="111"/>
      <c r="V76" s="111"/>
      <c r="W76" s="111"/>
      <c r="X76" s="111"/>
      <c r="Y76" s="111"/>
      <c r="Z76" s="111"/>
      <c r="AA76" s="111"/>
      <c r="AB76" s="111"/>
      <c r="AC76" s="111"/>
      <c r="AD76" s="111"/>
      <c r="AE76" s="111"/>
      <c r="AF76" s="111"/>
      <c r="AG76" s="111"/>
      <c r="AH76" s="111"/>
      <c r="AI76" s="111"/>
      <c r="AJ76" s="111"/>
      <c r="AK76" s="111"/>
      <c r="AL76" s="111"/>
      <c r="AM76" s="111"/>
      <c r="AN76" s="111"/>
      <c r="AO76" s="111"/>
      <c r="AP76" s="111"/>
      <c r="AQ76" s="111"/>
      <c r="AR76" s="111"/>
      <c r="AS76" s="111"/>
      <c r="AT76" s="111"/>
      <c r="AU76" s="111"/>
      <c r="AV76" s="111"/>
      <c r="AW76" s="111"/>
      <c r="AX76" s="111"/>
      <c r="AY76" s="111"/>
      <c r="AZ76" s="111"/>
      <c r="BA76" s="146"/>
      <c r="BB76" s="104" t="s">
        <v>98</v>
      </c>
      <c r="BC76" s="72" t="s">
        <v>93</v>
      </c>
      <c r="BD76" s="72" t="s">
        <v>509</v>
      </c>
      <c r="BE76" s="72" t="s">
        <v>413</v>
      </c>
      <c r="BF76" s="146"/>
      <c r="BG76" s="112"/>
      <c r="BH76" s="113"/>
      <c r="BI76" s="146"/>
      <c r="BJ76" s="105"/>
      <c r="BK76" s="113"/>
      <c r="BL76" s="113"/>
      <c r="BM76" s="105"/>
      <c r="BN76" s="113"/>
      <c r="BO76" s="152"/>
      <c r="BP76" s="146"/>
      <c r="BQ76" s="112" t="s">
        <v>113</v>
      </c>
      <c r="BR76" s="113"/>
      <c r="BS76" s="105"/>
      <c r="BT76" s="146"/>
      <c r="BU76" s="105"/>
      <c r="BV76" s="105"/>
      <c r="BW76" s="112"/>
      <c r="BX76" s="113"/>
      <c r="BY76" s="105"/>
      <c r="BZ76" s="113"/>
      <c r="CA76" s="113"/>
      <c r="CB76" s="105"/>
      <c r="CC76" s="113"/>
      <c r="CD76" s="152"/>
      <c r="CE76" s="112"/>
      <c r="CF76" s="113"/>
      <c r="CG76" s="105"/>
      <c r="CH76" s="146"/>
      <c r="CI76" s="105"/>
      <c r="CJ76" s="105"/>
      <c r="CK76" s="112"/>
      <c r="CL76" s="113"/>
      <c r="CM76" s="105"/>
      <c r="CN76" s="152"/>
      <c r="CO76" s="152"/>
      <c r="CP76" s="105"/>
      <c r="CQ76" s="113"/>
      <c r="CR76" s="152"/>
      <c r="CS76" s="112"/>
      <c r="CT76" s="113"/>
      <c r="CU76" s="105"/>
      <c r="CV76" s="146"/>
      <c r="CW76" s="105"/>
      <c r="CX76" s="105"/>
      <c r="CY76" s="112"/>
      <c r="CZ76" s="113"/>
      <c r="DA76" s="105"/>
      <c r="DB76" s="113"/>
      <c r="DC76" s="113"/>
      <c r="DD76" s="105"/>
      <c r="DE76" s="113"/>
      <c r="DF76" s="113"/>
      <c r="DG76" s="112"/>
      <c r="DH76" s="113"/>
      <c r="DI76" s="105"/>
      <c r="DJ76" s="146"/>
      <c r="DK76" s="105"/>
      <c r="DL76" s="105"/>
      <c r="DM76" s="112"/>
      <c r="DN76" s="113"/>
      <c r="DO76" s="105"/>
      <c r="DP76" s="113"/>
      <c r="DQ76" s="113"/>
      <c r="DR76" s="105"/>
      <c r="DS76" s="113"/>
      <c r="DT76" s="113"/>
      <c r="DU76" s="112"/>
      <c r="DV76" s="113"/>
      <c r="DW76" s="105"/>
      <c r="DX76" s="146"/>
      <c r="DY76" s="105"/>
      <c r="DZ76" s="105"/>
      <c r="EA76" s="112"/>
      <c r="EB76" s="113"/>
      <c r="EC76" s="105"/>
      <c r="ED76" s="113"/>
      <c r="EE76" s="113"/>
      <c r="EF76" s="105"/>
      <c r="EG76" s="113"/>
      <c r="EH76" s="113"/>
      <c r="EI76" s="112"/>
      <c r="EJ76" s="113"/>
      <c r="EK76" s="105"/>
      <c r="EL76" s="146"/>
      <c r="EM76" s="72" t="s">
        <v>115</v>
      </c>
      <c r="EN76" s="74">
        <v>2250</v>
      </c>
      <c r="EO76" s="73"/>
      <c r="EP76" s="72" t="s">
        <v>77</v>
      </c>
      <c r="EQ76" s="72"/>
      <c r="ER76" s="75"/>
      <c r="ES76" s="76"/>
      <c r="ET76" s="77">
        <v>1</v>
      </c>
      <c r="EU76" s="77"/>
      <c r="EV76" s="78"/>
      <c r="EW76" s="72"/>
      <c r="EX76" s="72"/>
      <c r="EY76" s="72" t="s">
        <v>100</v>
      </c>
      <c r="EZ76" s="72" t="s">
        <v>114</v>
      </c>
      <c r="FA76" s="72"/>
      <c r="FB76" s="78"/>
      <c r="FC76" s="78"/>
      <c r="FD76" s="146"/>
      <c r="FE76" s="78"/>
      <c r="FF76" s="78"/>
      <c r="FG76" s="78"/>
      <c r="FH76" s="78"/>
      <c r="FI76" s="78"/>
      <c r="FJ76" s="78"/>
      <c r="FK76" s="78"/>
      <c r="FL76" s="78"/>
      <c r="FM76" s="78"/>
      <c r="FN76" s="78"/>
      <c r="FO76" s="146"/>
      <c r="FP76" s="78"/>
      <c r="FQ76" s="78"/>
      <c r="FR76" s="78"/>
      <c r="FS76" s="78"/>
      <c r="FT76" s="78"/>
      <c r="FU76" s="78"/>
      <c r="FV76" s="78"/>
      <c r="FW76" s="78"/>
      <c r="FX76" s="78"/>
      <c r="FY76" s="78"/>
    </row>
    <row r="77" spans="1:181" s="71" customFormat="1" ht="16.350000000000001" customHeight="1" x14ac:dyDescent="0.25">
      <c r="A77" s="109"/>
      <c r="B77" s="70"/>
      <c r="C77" s="110"/>
      <c r="D77" s="110"/>
      <c r="E77" s="146"/>
      <c r="F77" s="109" t="str">
        <f>mehrsprachigkeitBegriffsrückgabe(gewählteSpracheZurückgeben(), "Product (foreign language)")</f>
        <v>Produkt (Fremdsprache)</v>
      </c>
      <c r="G77" s="111"/>
      <c r="H77" s="111" t="s">
        <v>225</v>
      </c>
      <c r="I77" s="111" t="s">
        <v>94</v>
      </c>
      <c r="J77" s="111" t="s">
        <v>434</v>
      </c>
      <c r="K77" s="111"/>
      <c r="L77" s="146"/>
      <c r="M77" s="149"/>
      <c r="N77" s="111"/>
      <c r="O77" s="111"/>
      <c r="P77" s="111"/>
      <c r="Q77" s="111"/>
      <c r="R77" s="111"/>
      <c r="S77" s="111"/>
      <c r="T77" s="111"/>
      <c r="U77" s="111"/>
      <c r="V77" s="111"/>
      <c r="W77" s="111"/>
      <c r="X77" s="111"/>
      <c r="Y77" s="111"/>
      <c r="Z77" s="111"/>
      <c r="AA77" s="111"/>
      <c r="AB77" s="111"/>
      <c r="AC77" s="111"/>
      <c r="AD77" s="111"/>
      <c r="AE77" s="111"/>
      <c r="AF77" s="111"/>
      <c r="AG77" s="111"/>
      <c r="AH77" s="111"/>
      <c r="AI77" s="111"/>
      <c r="AJ77" s="111"/>
      <c r="AK77" s="111"/>
      <c r="AL77" s="111"/>
      <c r="AM77" s="111"/>
      <c r="AN77" s="111"/>
      <c r="AO77" s="111"/>
      <c r="AP77" s="111"/>
      <c r="AQ77" s="111"/>
      <c r="AR77" s="111"/>
      <c r="AS77" s="111"/>
      <c r="AT77" s="111"/>
      <c r="AU77" s="111"/>
      <c r="AV77" s="111"/>
      <c r="AW77" s="111"/>
      <c r="AX77" s="111"/>
      <c r="AY77" s="111"/>
      <c r="AZ77" s="111"/>
      <c r="BA77" s="146"/>
      <c r="BB77" s="104" t="s">
        <v>99</v>
      </c>
      <c r="BC77" s="72" t="s">
        <v>95</v>
      </c>
      <c r="BD77" s="72"/>
      <c r="BE77" s="72"/>
      <c r="BF77" s="146"/>
      <c r="BG77" s="112"/>
      <c r="BH77" s="113"/>
      <c r="BI77" s="146"/>
      <c r="BJ77" s="105"/>
      <c r="BK77" s="113"/>
      <c r="BL77" s="113"/>
      <c r="BM77" s="105"/>
      <c r="BN77" s="113"/>
      <c r="BO77" s="113"/>
      <c r="BP77" s="146"/>
      <c r="BQ77" s="112" t="s">
        <v>113</v>
      </c>
      <c r="BR77" s="113"/>
      <c r="BS77" s="105"/>
      <c r="BT77" s="146"/>
      <c r="BU77" s="105"/>
      <c r="BV77" s="105"/>
      <c r="BW77" s="112"/>
      <c r="BX77" s="113"/>
      <c r="BY77" s="105"/>
      <c r="BZ77" s="113"/>
      <c r="CA77" s="113"/>
      <c r="CB77" s="105"/>
      <c r="CC77" s="113"/>
      <c r="CD77" s="113"/>
      <c r="CE77" s="112"/>
      <c r="CF77" s="113"/>
      <c r="CG77" s="105"/>
      <c r="CH77" s="146"/>
      <c r="CI77" s="105"/>
      <c r="CJ77" s="105"/>
      <c r="CK77" s="112"/>
      <c r="CL77" s="113"/>
      <c r="CM77" s="105"/>
      <c r="CN77" s="113"/>
      <c r="CO77" s="113"/>
      <c r="CP77" s="105"/>
      <c r="CQ77" s="113"/>
      <c r="CR77" s="113"/>
      <c r="CS77" s="112"/>
      <c r="CT77" s="113"/>
      <c r="CU77" s="105"/>
      <c r="CV77" s="146"/>
      <c r="CW77" s="105"/>
      <c r="CX77" s="105"/>
      <c r="CY77" s="112"/>
      <c r="CZ77" s="113"/>
      <c r="DA77" s="105"/>
      <c r="DB77" s="113"/>
      <c r="DC77" s="113"/>
      <c r="DD77" s="105"/>
      <c r="DE77" s="113"/>
      <c r="DF77" s="113"/>
      <c r="DG77" s="112"/>
      <c r="DH77" s="113"/>
      <c r="DI77" s="105"/>
      <c r="DJ77" s="146"/>
      <c r="DK77" s="105"/>
      <c r="DL77" s="105"/>
      <c r="DM77" s="112"/>
      <c r="DN77" s="113"/>
      <c r="DO77" s="105"/>
      <c r="DP77" s="113"/>
      <c r="DQ77" s="113"/>
      <c r="DR77" s="105"/>
      <c r="DS77" s="113"/>
      <c r="DT77" s="113"/>
      <c r="DU77" s="112"/>
      <c r="DV77" s="113"/>
      <c r="DW77" s="105"/>
      <c r="DX77" s="146"/>
      <c r="DY77" s="105"/>
      <c r="DZ77" s="105"/>
      <c r="EA77" s="112"/>
      <c r="EB77" s="113"/>
      <c r="EC77" s="105"/>
      <c r="ED77" s="113"/>
      <c r="EE77" s="113"/>
      <c r="EF77" s="105"/>
      <c r="EG77" s="113"/>
      <c r="EH77" s="113"/>
      <c r="EI77" s="112"/>
      <c r="EJ77" s="113"/>
      <c r="EK77" s="105"/>
      <c r="EL77" s="146"/>
      <c r="EM77" s="72"/>
      <c r="EN77" s="74"/>
      <c r="EO77" s="73"/>
      <c r="EP77" s="72" t="s">
        <v>96</v>
      </c>
      <c r="EQ77" s="72"/>
      <c r="ER77" s="75"/>
      <c r="ES77" s="76"/>
      <c r="ET77" s="77"/>
      <c r="EU77" s="77"/>
      <c r="EV77" s="78"/>
      <c r="EW77" s="72"/>
      <c r="EX77" s="72"/>
      <c r="EY77" s="72"/>
      <c r="EZ77" s="72"/>
      <c r="FA77" s="72"/>
      <c r="FB77" s="78"/>
      <c r="FC77" s="78"/>
      <c r="FD77" s="146"/>
      <c r="FE77" s="78"/>
      <c r="FF77" s="78"/>
      <c r="FG77" s="78"/>
      <c r="FO77" s="146"/>
      <c r="FP77" s="78"/>
      <c r="FQ77" s="78"/>
      <c r="FR77" s="78"/>
    </row>
    <row r="78" spans="1:181" s="71" customFormat="1" ht="16.350000000000001" customHeight="1" x14ac:dyDescent="0.25">
      <c r="A78" s="109"/>
      <c r="B78" s="70"/>
      <c r="C78" s="110"/>
      <c r="D78" s="110">
        <v>1</v>
      </c>
      <c r="E78" s="146"/>
      <c r="F78" s="109" t="str">
        <f>mehrsprachigkeitBegriffsrückgabe(gewählteSpracheZurückgeben(), "Product")</f>
        <v>Produkt</v>
      </c>
      <c r="G78" s="111" t="s">
        <v>226</v>
      </c>
      <c r="H78" s="111"/>
      <c r="I78" s="111" t="s">
        <v>86</v>
      </c>
      <c r="J78" s="111" t="s">
        <v>435</v>
      </c>
      <c r="K78" s="111"/>
      <c r="L78" s="146"/>
      <c r="M78" s="149" t="s">
        <v>392</v>
      </c>
      <c r="N78" s="111" t="s">
        <v>396</v>
      </c>
      <c r="O78" s="114"/>
      <c r="P78" s="114"/>
      <c r="Q78" s="111"/>
      <c r="R78" s="111"/>
      <c r="S78" s="111"/>
      <c r="T78" s="111"/>
      <c r="U78" s="111"/>
      <c r="V78" s="111"/>
      <c r="W78" s="111"/>
      <c r="X78" s="111"/>
      <c r="Y78" s="111"/>
      <c r="Z78" s="111"/>
      <c r="AA78" s="111"/>
      <c r="AB78" s="111"/>
      <c r="AC78" s="111"/>
      <c r="AD78" s="111"/>
      <c r="AE78" s="111"/>
      <c r="AF78" s="111"/>
      <c r="AG78" s="111"/>
      <c r="AH78" s="111"/>
      <c r="AI78" s="111"/>
      <c r="AJ78" s="111"/>
      <c r="AK78" s="111"/>
      <c r="AL78" s="111"/>
      <c r="AM78" s="111"/>
      <c r="AN78" s="111"/>
      <c r="AO78" s="111"/>
      <c r="AP78" s="111"/>
      <c r="AQ78" s="111"/>
      <c r="AR78" s="111"/>
      <c r="AS78" s="111"/>
      <c r="AT78" s="111"/>
      <c r="AU78" s="111"/>
      <c r="AV78" s="111"/>
      <c r="AW78" s="111"/>
      <c r="AX78" s="111"/>
      <c r="AY78" s="111"/>
      <c r="AZ78" s="111"/>
      <c r="BA78" s="146"/>
      <c r="BB78" s="104" t="s">
        <v>98</v>
      </c>
      <c r="BC78" s="72" t="s">
        <v>93</v>
      </c>
      <c r="BD78" s="72" t="s">
        <v>509</v>
      </c>
      <c r="BE78" s="72" t="s">
        <v>415</v>
      </c>
      <c r="BF78" s="146"/>
      <c r="BG78" s="112"/>
      <c r="BH78" s="113"/>
      <c r="BI78" s="146"/>
      <c r="BJ78" s="105"/>
      <c r="BK78" s="113"/>
      <c r="BL78" s="113"/>
      <c r="BM78" s="105"/>
      <c r="BN78" s="113"/>
      <c r="BO78" s="152"/>
      <c r="BP78" s="146"/>
      <c r="BQ78" s="112">
        <v>129.9</v>
      </c>
      <c r="BR78" s="113"/>
      <c r="BS78" s="105">
        <v>1</v>
      </c>
      <c r="BT78" s="146"/>
      <c r="BU78" s="105"/>
      <c r="BV78" s="105"/>
      <c r="BW78" s="112"/>
      <c r="BX78" s="113"/>
      <c r="BY78" s="105"/>
      <c r="BZ78" s="113"/>
      <c r="CA78" s="113"/>
      <c r="CB78" s="105"/>
      <c r="CC78" s="113"/>
      <c r="CD78" s="152"/>
      <c r="CE78" s="112"/>
      <c r="CF78" s="113"/>
      <c r="CG78" s="105"/>
      <c r="CH78" s="146"/>
      <c r="CI78" s="105"/>
      <c r="CJ78" s="105"/>
      <c r="CK78" s="112"/>
      <c r="CL78" s="113"/>
      <c r="CM78" s="105"/>
      <c r="CN78" s="152"/>
      <c r="CO78" s="152"/>
      <c r="CP78" s="105"/>
      <c r="CQ78" s="113"/>
      <c r="CR78" s="152"/>
      <c r="CS78" s="112"/>
      <c r="CT78" s="113"/>
      <c r="CU78" s="105"/>
      <c r="CV78" s="146"/>
      <c r="CW78" s="105"/>
      <c r="CX78" s="105"/>
      <c r="CY78" s="112"/>
      <c r="CZ78" s="113"/>
      <c r="DA78" s="105"/>
      <c r="DB78" s="113"/>
      <c r="DC78" s="113"/>
      <c r="DD78" s="105"/>
      <c r="DE78" s="113"/>
      <c r="DF78" s="113"/>
      <c r="DG78" s="112"/>
      <c r="DH78" s="113"/>
      <c r="DI78" s="105"/>
      <c r="DJ78" s="146"/>
      <c r="DK78" s="105"/>
      <c r="DL78" s="105"/>
      <c r="DM78" s="112"/>
      <c r="DN78" s="113"/>
      <c r="DO78" s="105"/>
      <c r="DP78" s="113"/>
      <c r="DQ78" s="113"/>
      <c r="DR78" s="105"/>
      <c r="DS78" s="113"/>
      <c r="DT78" s="113"/>
      <c r="DU78" s="112"/>
      <c r="DV78" s="113"/>
      <c r="DW78" s="105"/>
      <c r="DX78" s="146"/>
      <c r="DY78" s="105"/>
      <c r="DZ78" s="105"/>
      <c r="EA78" s="112"/>
      <c r="EB78" s="113"/>
      <c r="EC78" s="105"/>
      <c r="ED78" s="113"/>
      <c r="EE78" s="113"/>
      <c r="EF78" s="105"/>
      <c r="EG78" s="113"/>
      <c r="EH78" s="113"/>
      <c r="EI78" s="112"/>
      <c r="EJ78" s="113"/>
      <c r="EK78" s="105"/>
      <c r="EL78" s="146"/>
      <c r="EM78" s="72" t="s">
        <v>115</v>
      </c>
      <c r="EN78" s="74">
        <v>2250</v>
      </c>
      <c r="EO78" s="73"/>
      <c r="EP78" s="72" t="s">
        <v>77</v>
      </c>
      <c r="EQ78" s="72"/>
      <c r="ER78" s="75"/>
      <c r="ES78" s="76"/>
      <c r="ET78" s="77"/>
      <c r="EU78" s="77">
        <v>1</v>
      </c>
      <c r="EV78" s="78"/>
      <c r="EW78" s="72"/>
      <c r="EX78" s="72"/>
      <c r="EY78" s="72" t="s">
        <v>100</v>
      </c>
      <c r="EZ78" s="72" t="s">
        <v>114</v>
      </c>
      <c r="FA78" s="72"/>
      <c r="FB78" s="78"/>
      <c r="FC78" s="78"/>
      <c r="FD78" s="146"/>
      <c r="FE78" s="78"/>
      <c r="FF78" s="78"/>
      <c r="FG78" s="78"/>
      <c r="FH78" s="78"/>
      <c r="FI78" s="78"/>
      <c r="FJ78" s="78"/>
      <c r="FK78" s="78"/>
      <c r="FL78" s="78"/>
      <c r="FM78" s="78"/>
      <c r="FN78" s="78"/>
      <c r="FO78" s="146"/>
      <c r="FP78" s="78"/>
      <c r="FQ78" s="78"/>
      <c r="FR78" s="78"/>
      <c r="FS78" s="78"/>
      <c r="FT78" s="78"/>
      <c r="FU78" s="78"/>
      <c r="FV78" s="78"/>
      <c r="FW78" s="78"/>
      <c r="FX78" s="78"/>
      <c r="FY78" s="78"/>
    </row>
    <row r="79" spans="1:181" s="71" customFormat="1" ht="16.350000000000001" customHeight="1" x14ac:dyDescent="0.25">
      <c r="A79" s="109"/>
      <c r="B79" s="70"/>
      <c r="C79" s="110"/>
      <c r="D79" s="110"/>
      <c r="E79" s="146"/>
      <c r="F79" s="109" t="str">
        <f>mehrsprachigkeitBegriffsrückgabe(gewählteSpracheZurückgeben(), "Product (foreign language)")</f>
        <v>Produkt (Fremdsprache)</v>
      </c>
      <c r="G79" s="111"/>
      <c r="H79" s="111" t="s">
        <v>226</v>
      </c>
      <c r="I79" s="111" t="s">
        <v>94</v>
      </c>
      <c r="J79" s="111" t="s">
        <v>436</v>
      </c>
      <c r="K79" s="111"/>
      <c r="L79" s="146"/>
      <c r="M79" s="149"/>
      <c r="N79" s="111"/>
      <c r="O79" s="111"/>
      <c r="P79" s="111"/>
      <c r="Q79" s="111"/>
      <c r="R79" s="111"/>
      <c r="S79" s="111"/>
      <c r="T79" s="111"/>
      <c r="U79" s="111"/>
      <c r="V79" s="111"/>
      <c r="W79" s="111"/>
      <c r="X79" s="111"/>
      <c r="Y79" s="111"/>
      <c r="Z79" s="111"/>
      <c r="AA79" s="111"/>
      <c r="AB79" s="111"/>
      <c r="AC79" s="111"/>
      <c r="AD79" s="111"/>
      <c r="AE79" s="111"/>
      <c r="AF79" s="111"/>
      <c r="AG79" s="111"/>
      <c r="AH79" s="111"/>
      <c r="AI79" s="111"/>
      <c r="AJ79" s="111"/>
      <c r="AK79" s="111"/>
      <c r="AL79" s="111"/>
      <c r="AM79" s="111"/>
      <c r="AN79" s="111"/>
      <c r="AO79" s="111"/>
      <c r="AP79" s="111"/>
      <c r="AQ79" s="111"/>
      <c r="AR79" s="111"/>
      <c r="AS79" s="111"/>
      <c r="AT79" s="111"/>
      <c r="AU79" s="111"/>
      <c r="AV79" s="111"/>
      <c r="AW79" s="111"/>
      <c r="AX79" s="111"/>
      <c r="AY79" s="111"/>
      <c r="AZ79" s="111"/>
      <c r="BA79" s="146"/>
      <c r="BB79" s="104" t="s">
        <v>99</v>
      </c>
      <c r="BC79" s="72" t="s">
        <v>95</v>
      </c>
      <c r="BD79" s="72"/>
      <c r="BE79" s="72"/>
      <c r="BF79" s="146"/>
      <c r="BG79" s="112"/>
      <c r="BH79" s="113"/>
      <c r="BI79" s="146"/>
      <c r="BJ79" s="105"/>
      <c r="BK79" s="113"/>
      <c r="BL79" s="113"/>
      <c r="BM79" s="105"/>
      <c r="BN79" s="113"/>
      <c r="BO79" s="113"/>
      <c r="BP79" s="146"/>
      <c r="BQ79" s="112" t="s">
        <v>113</v>
      </c>
      <c r="BR79" s="113"/>
      <c r="BS79" s="105"/>
      <c r="BT79" s="146"/>
      <c r="BU79" s="105"/>
      <c r="BV79" s="105"/>
      <c r="BW79" s="112"/>
      <c r="BX79" s="113"/>
      <c r="BY79" s="105"/>
      <c r="BZ79" s="113"/>
      <c r="CA79" s="113"/>
      <c r="CB79" s="105"/>
      <c r="CC79" s="113"/>
      <c r="CD79" s="113"/>
      <c r="CE79" s="112"/>
      <c r="CF79" s="113"/>
      <c r="CG79" s="105"/>
      <c r="CH79" s="146"/>
      <c r="CI79" s="105"/>
      <c r="CJ79" s="105"/>
      <c r="CK79" s="112"/>
      <c r="CL79" s="113"/>
      <c r="CM79" s="105"/>
      <c r="CN79" s="113"/>
      <c r="CO79" s="113"/>
      <c r="CP79" s="105"/>
      <c r="CQ79" s="113"/>
      <c r="CR79" s="113"/>
      <c r="CS79" s="112"/>
      <c r="CT79" s="113"/>
      <c r="CU79" s="105"/>
      <c r="CV79" s="146"/>
      <c r="CW79" s="105"/>
      <c r="CX79" s="105"/>
      <c r="CY79" s="112"/>
      <c r="CZ79" s="113"/>
      <c r="DA79" s="105"/>
      <c r="DB79" s="113"/>
      <c r="DC79" s="113"/>
      <c r="DD79" s="105"/>
      <c r="DE79" s="113"/>
      <c r="DF79" s="113"/>
      <c r="DG79" s="112"/>
      <c r="DH79" s="113"/>
      <c r="DI79" s="105"/>
      <c r="DJ79" s="146"/>
      <c r="DK79" s="105"/>
      <c r="DL79" s="105"/>
      <c r="DM79" s="112"/>
      <c r="DN79" s="113"/>
      <c r="DO79" s="105"/>
      <c r="DP79" s="113"/>
      <c r="DQ79" s="113"/>
      <c r="DR79" s="105"/>
      <c r="DS79" s="113"/>
      <c r="DT79" s="113"/>
      <c r="DU79" s="112"/>
      <c r="DV79" s="113"/>
      <c r="DW79" s="105"/>
      <c r="DX79" s="146"/>
      <c r="DY79" s="105"/>
      <c r="DZ79" s="105"/>
      <c r="EA79" s="112"/>
      <c r="EB79" s="113"/>
      <c r="EC79" s="105"/>
      <c r="ED79" s="113"/>
      <c r="EE79" s="113"/>
      <c r="EF79" s="105"/>
      <c r="EG79" s="113"/>
      <c r="EH79" s="113"/>
      <c r="EI79" s="112"/>
      <c r="EJ79" s="113"/>
      <c r="EK79" s="105"/>
      <c r="EL79" s="146"/>
      <c r="EM79" s="72"/>
      <c r="EN79" s="74"/>
      <c r="EO79" s="73"/>
      <c r="EP79" s="72" t="s">
        <v>96</v>
      </c>
      <c r="EQ79" s="72"/>
      <c r="ER79" s="75"/>
      <c r="ES79" s="76"/>
      <c r="ET79" s="77"/>
      <c r="EU79" s="77"/>
      <c r="EV79" s="78"/>
      <c r="EW79" s="72"/>
      <c r="EX79" s="72"/>
      <c r="EY79" s="72"/>
      <c r="EZ79" s="72"/>
      <c r="FA79" s="72"/>
      <c r="FB79" s="78"/>
      <c r="FC79" s="78"/>
      <c r="FD79" s="146"/>
      <c r="FE79" s="78"/>
      <c r="FF79" s="78"/>
      <c r="FG79" s="78"/>
      <c r="FO79" s="146"/>
      <c r="FP79" s="78"/>
      <c r="FQ79" s="78"/>
      <c r="FR79" s="78"/>
    </row>
    <row r="80" spans="1:181" s="71" customFormat="1" ht="16.350000000000001" customHeight="1" x14ac:dyDescent="0.25">
      <c r="A80" s="109"/>
      <c r="B80" s="70"/>
      <c r="C80" s="110"/>
      <c r="D80" s="110">
        <v>1</v>
      </c>
      <c r="E80" s="146"/>
      <c r="F80" s="109" t="str">
        <f>mehrsprachigkeitBegriffsrückgabe(gewählteSpracheZurückgeben(), "Product")</f>
        <v>Produkt</v>
      </c>
      <c r="G80" s="111" t="s">
        <v>227</v>
      </c>
      <c r="H80" s="111"/>
      <c r="I80" s="111" t="s">
        <v>86</v>
      </c>
      <c r="J80" s="111" t="s">
        <v>437</v>
      </c>
      <c r="K80" s="111"/>
      <c r="L80" s="146"/>
      <c r="M80" s="149" t="s">
        <v>392</v>
      </c>
      <c r="N80" s="111" t="s">
        <v>403</v>
      </c>
      <c r="O80" s="114"/>
      <c r="P80" s="114"/>
      <c r="Q80" s="111"/>
      <c r="R80" s="111"/>
      <c r="S80" s="111"/>
      <c r="T80" s="111"/>
      <c r="U80" s="111"/>
      <c r="V80" s="111"/>
      <c r="W80" s="111"/>
      <c r="X80" s="111"/>
      <c r="Y80" s="111"/>
      <c r="Z80" s="111"/>
      <c r="AA80" s="111"/>
      <c r="AB80" s="111"/>
      <c r="AC80" s="111"/>
      <c r="AD80" s="111"/>
      <c r="AE80" s="111"/>
      <c r="AF80" s="111"/>
      <c r="AG80" s="111"/>
      <c r="AH80" s="111"/>
      <c r="AI80" s="111"/>
      <c r="AJ80" s="111"/>
      <c r="AK80" s="111"/>
      <c r="AL80" s="111"/>
      <c r="AM80" s="111"/>
      <c r="AN80" s="111"/>
      <c r="AO80" s="111"/>
      <c r="AP80" s="111"/>
      <c r="AQ80" s="111"/>
      <c r="AR80" s="111"/>
      <c r="AS80" s="111"/>
      <c r="AT80" s="111"/>
      <c r="AU80" s="111"/>
      <c r="AV80" s="111"/>
      <c r="AW80" s="111"/>
      <c r="AX80" s="111"/>
      <c r="AY80" s="111"/>
      <c r="AZ80" s="111"/>
      <c r="BA80" s="146"/>
      <c r="BB80" s="104" t="s">
        <v>98</v>
      </c>
      <c r="BC80" s="72" t="s">
        <v>93</v>
      </c>
      <c r="BD80" s="72" t="s">
        <v>509</v>
      </c>
      <c r="BE80" s="72" t="s">
        <v>414</v>
      </c>
      <c r="BF80" s="146"/>
      <c r="BG80" s="112"/>
      <c r="BH80" s="113"/>
      <c r="BI80" s="146"/>
      <c r="BJ80" s="105"/>
      <c r="BK80" s="113"/>
      <c r="BL80" s="113"/>
      <c r="BM80" s="105"/>
      <c r="BN80" s="113"/>
      <c r="BO80" s="152"/>
      <c r="BP80" s="146"/>
      <c r="BQ80" s="112" t="s">
        <v>113</v>
      </c>
      <c r="BR80" s="113"/>
      <c r="BS80" s="105"/>
      <c r="BT80" s="146"/>
      <c r="BU80" s="105"/>
      <c r="BV80" s="105"/>
      <c r="BW80" s="112"/>
      <c r="BX80" s="113"/>
      <c r="BY80" s="105"/>
      <c r="BZ80" s="113"/>
      <c r="CA80" s="113"/>
      <c r="CB80" s="105"/>
      <c r="CC80" s="113"/>
      <c r="CD80" s="152"/>
      <c r="CE80" s="112"/>
      <c r="CF80" s="113"/>
      <c r="CG80" s="105"/>
      <c r="CH80" s="146"/>
      <c r="CI80" s="105"/>
      <c r="CJ80" s="105"/>
      <c r="CK80" s="112"/>
      <c r="CL80" s="113"/>
      <c r="CM80" s="105"/>
      <c r="CN80" s="152"/>
      <c r="CO80" s="152"/>
      <c r="CP80" s="105"/>
      <c r="CQ80" s="113"/>
      <c r="CR80" s="152"/>
      <c r="CS80" s="112"/>
      <c r="CT80" s="113"/>
      <c r="CU80" s="105"/>
      <c r="CV80" s="146"/>
      <c r="CW80" s="105"/>
      <c r="CX80" s="105"/>
      <c r="CY80" s="112"/>
      <c r="CZ80" s="113"/>
      <c r="DA80" s="105"/>
      <c r="DB80" s="113"/>
      <c r="DC80" s="113"/>
      <c r="DD80" s="105"/>
      <c r="DE80" s="113"/>
      <c r="DF80" s="113"/>
      <c r="DG80" s="112"/>
      <c r="DH80" s="113"/>
      <c r="DI80" s="105"/>
      <c r="DJ80" s="146"/>
      <c r="DK80" s="105"/>
      <c r="DL80" s="105"/>
      <c r="DM80" s="112"/>
      <c r="DN80" s="113"/>
      <c r="DO80" s="105"/>
      <c r="DP80" s="113"/>
      <c r="DQ80" s="113"/>
      <c r="DR80" s="105"/>
      <c r="DS80" s="113"/>
      <c r="DT80" s="113"/>
      <c r="DU80" s="112"/>
      <c r="DV80" s="113"/>
      <c r="DW80" s="105"/>
      <c r="DX80" s="146"/>
      <c r="DY80" s="105"/>
      <c r="DZ80" s="105"/>
      <c r="EA80" s="112"/>
      <c r="EB80" s="113"/>
      <c r="EC80" s="105"/>
      <c r="ED80" s="113"/>
      <c r="EE80" s="113"/>
      <c r="EF80" s="105"/>
      <c r="EG80" s="113"/>
      <c r="EH80" s="113"/>
      <c r="EI80" s="112"/>
      <c r="EJ80" s="113"/>
      <c r="EK80" s="105"/>
      <c r="EL80" s="146"/>
      <c r="EM80" s="72" t="s">
        <v>115</v>
      </c>
      <c r="EN80" s="74">
        <v>2250</v>
      </c>
      <c r="EO80" s="73"/>
      <c r="EP80" s="72" t="s">
        <v>77</v>
      </c>
      <c r="EQ80" s="72"/>
      <c r="ER80" s="75"/>
      <c r="ES80" s="76"/>
      <c r="ET80" s="77"/>
      <c r="EU80" s="77"/>
      <c r="EV80" s="78"/>
      <c r="EW80" s="72"/>
      <c r="EX80" s="72"/>
      <c r="EY80" s="72" t="s">
        <v>100</v>
      </c>
      <c r="EZ80" s="72" t="s">
        <v>114</v>
      </c>
      <c r="FA80" s="72"/>
      <c r="FB80" s="78"/>
      <c r="FC80" s="78"/>
      <c r="FD80" s="146"/>
      <c r="FE80" s="78"/>
      <c r="FF80" s="78"/>
      <c r="FG80" s="78"/>
      <c r="FH80" s="78"/>
      <c r="FI80" s="78"/>
      <c r="FJ80" s="78"/>
      <c r="FK80" s="78"/>
      <c r="FL80" s="78"/>
      <c r="FM80" s="78"/>
      <c r="FN80" s="78"/>
      <c r="FO80" s="146"/>
      <c r="FP80" s="78"/>
      <c r="FQ80" s="78"/>
      <c r="FR80" s="78"/>
      <c r="FS80" s="78"/>
      <c r="FT80" s="78"/>
      <c r="FU80" s="78"/>
      <c r="FV80" s="78"/>
      <c r="FW80" s="78"/>
      <c r="FX80" s="78"/>
      <c r="FY80" s="78"/>
    </row>
    <row r="81" spans="1:181" s="71" customFormat="1" ht="16.350000000000001" customHeight="1" x14ac:dyDescent="0.25">
      <c r="A81" s="109"/>
      <c r="B81" s="70"/>
      <c r="C81" s="110"/>
      <c r="D81" s="110"/>
      <c r="E81" s="146"/>
      <c r="F81" s="109" t="str">
        <f>mehrsprachigkeitBegriffsrückgabe(gewählteSpracheZurückgeben(), "Product (foreign language)")</f>
        <v>Produkt (Fremdsprache)</v>
      </c>
      <c r="G81" s="111"/>
      <c r="H81" s="111" t="s">
        <v>227</v>
      </c>
      <c r="I81" s="111" t="s">
        <v>94</v>
      </c>
      <c r="J81" s="111" t="s">
        <v>438</v>
      </c>
      <c r="K81" s="111"/>
      <c r="L81" s="146"/>
      <c r="M81" s="149"/>
      <c r="N81" s="111"/>
      <c r="O81" s="111"/>
      <c r="P81" s="111"/>
      <c r="Q81" s="111"/>
      <c r="R81" s="111"/>
      <c r="S81" s="111"/>
      <c r="T81" s="111"/>
      <c r="U81" s="111"/>
      <c r="V81" s="111"/>
      <c r="W81" s="111"/>
      <c r="X81" s="111"/>
      <c r="Y81" s="111"/>
      <c r="Z81" s="111"/>
      <c r="AA81" s="111"/>
      <c r="AB81" s="111"/>
      <c r="AC81" s="111"/>
      <c r="AD81" s="111"/>
      <c r="AE81" s="111"/>
      <c r="AF81" s="111"/>
      <c r="AG81" s="111"/>
      <c r="AH81" s="111"/>
      <c r="AI81" s="111"/>
      <c r="AJ81" s="111"/>
      <c r="AK81" s="111"/>
      <c r="AL81" s="111"/>
      <c r="AM81" s="111"/>
      <c r="AN81" s="111"/>
      <c r="AO81" s="111"/>
      <c r="AP81" s="111"/>
      <c r="AQ81" s="111"/>
      <c r="AR81" s="111"/>
      <c r="AS81" s="111"/>
      <c r="AT81" s="111"/>
      <c r="AU81" s="111"/>
      <c r="AV81" s="111"/>
      <c r="AW81" s="111"/>
      <c r="AX81" s="111"/>
      <c r="AY81" s="111"/>
      <c r="AZ81" s="111"/>
      <c r="BA81" s="146"/>
      <c r="BB81" s="104" t="s">
        <v>99</v>
      </c>
      <c r="BC81" s="72" t="s">
        <v>95</v>
      </c>
      <c r="BD81" s="72"/>
      <c r="BE81" s="72"/>
      <c r="BF81" s="146"/>
      <c r="BG81" s="112"/>
      <c r="BH81" s="113"/>
      <c r="BI81" s="146"/>
      <c r="BJ81" s="105"/>
      <c r="BK81" s="113"/>
      <c r="BL81" s="113"/>
      <c r="BM81" s="105"/>
      <c r="BN81" s="113"/>
      <c r="BO81" s="113"/>
      <c r="BP81" s="146"/>
      <c r="BQ81" s="112" t="s">
        <v>113</v>
      </c>
      <c r="BR81" s="113"/>
      <c r="BS81" s="105"/>
      <c r="BT81" s="146"/>
      <c r="BU81" s="105"/>
      <c r="BV81" s="105"/>
      <c r="BW81" s="112"/>
      <c r="BX81" s="113"/>
      <c r="BY81" s="105"/>
      <c r="BZ81" s="113"/>
      <c r="CA81" s="113"/>
      <c r="CB81" s="105"/>
      <c r="CC81" s="113"/>
      <c r="CD81" s="113"/>
      <c r="CE81" s="112"/>
      <c r="CF81" s="113"/>
      <c r="CG81" s="105"/>
      <c r="CH81" s="146"/>
      <c r="CI81" s="105"/>
      <c r="CJ81" s="105"/>
      <c r="CK81" s="112"/>
      <c r="CL81" s="113"/>
      <c r="CM81" s="105"/>
      <c r="CN81" s="113"/>
      <c r="CO81" s="113"/>
      <c r="CP81" s="105"/>
      <c r="CQ81" s="113"/>
      <c r="CR81" s="113"/>
      <c r="CS81" s="112"/>
      <c r="CT81" s="113"/>
      <c r="CU81" s="105"/>
      <c r="CV81" s="146"/>
      <c r="CW81" s="105"/>
      <c r="CX81" s="105"/>
      <c r="CY81" s="112"/>
      <c r="CZ81" s="113"/>
      <c r="DA81" s="105"/>
      <c r="DB81" s="113"/>
      <c r="DC81" s="113"/>
      <c r="DD81" s="105"/>
      <c r="DE81" s="113"/>
      <c r="DF81" s="113"/>
      <c r="DG81" s="112"/>
      <c r="DH81" s="113"/>
      <c r="DI81" s="105"/>
      <c r="DJ81" s="146"/>
      <c r="DK81" s="105"/>
      <c r="DL81" s="105"/>
      <c r="DM81" s="112"/>
      <c r="DN81" s="113"/>
      <c r="DO81" s="105"/>
      <c r="DP81" s="113"/>
      <c r="DQ81" s="113"/>
      <c r="DR81" s="105"/>
      <c r="DS81" s="113"/>
      <c r="DT81" s="113"/>
      <c r="DU81" s="112"/>
      <c r="DV81" s="113"/>
      <c r="DW81" s="105"/>
      <c r="DX81" s="146"/>
      <c r="DY81" s="105"/>
      <c r="DZ81" s="105"/>
      <c r="EA81" s="112"/>
      <c r="EB81" s="113"/>
      <c r="EC81" s="105"/>
      <c r="ED81" s="113"/>
      <c r="EE81" s="113"/>
      <c r="EF81" s="105"/>
      <c r="EG81" s="113"/>
      <c r="EH81" s="113"/>
      <c r="EI81" s="112"/>
      <c r="EJ81" s="113"/>
      <c r="EK81" s="105"/>
      <c r="EL81" s="146"/>
      <c r="EM81" s="72"/>
      <c r="EN81" s="74"/>
      <c r="EO81" s="73"/>
      <c r="EP81" s="72" t="s">
        <v>96</v>
      </c>
      <c r="EQ81" s="72"/>
      <c r="ER81" s="75"/>
      <c r="ES81" s="76"/>
      <c r="ET81" s="77"/>
      <c r="EU81" s="77"/>
      <c r="EV81" s="78"/>
      <c r="EW81" s="72"/>
      <c r="EX81" s="72"/>
      <c r="EY81" s="72"/>
      <c r="EZ81" s="72"/>
      <c r="FA81" s="72"/>
      <c r="FB81" s="78"/>
      <c r="FC81" s="78"/>
      <c r="FD81" s="146"/>
      <c r="FE81" s="78"/>
      <c r="FF81" s="78"/>
      <c r="FG81" s="78"/>
      <c r="FO81" s="146"/>
      <c r="FP81" s="78"/>
      <c r="FQ81" s="78"/>
      <c r="FR81" s="78"/>
    </row>
    <row r="82" spans="1:181" s="71" customFormat="1" ht="16.350000000000001" customHeight="1" x14ac:dyDescent="0.25">
      <c r="A82" s="109"/>
      <c r="B82" s="70"/>
      <c r="C82" s="110"/>
      <c r="D82" s="110">
        <v>1</v>
      </c>
      <c r="E82" s="146"/>
      <c r="F82" s="109" t="str">
        <f>mehrsprachigkeitBegriffsrückgabe(gewählteSpracheZurückgeben(), "Product")</f>
        <v>Produkt</v>
      </c>
      <c r="G82" s="111" t="s">
        <v>228</v>
      </c>
      <c r="H82" s="111"/>
      <c r="I82" s="111" t="s">
        <v>86</v>
      </c>
      <c r="J82" s="111" t="s">
        <v>439</v>
      </c>
      <c r="K82" s="111"/>
      <c r="L82" s="146"/>
      <c r="M82" s="149" t="s">
        <v>392</v>
      </c>
      <c r="N82" s="111" t="s">
        <v>401</v>
      </c>
      <c r="O82" s="114"/>
      <c r="P82" s="114"/>
      <c r="Q82" s="111"/>
      <c r="R82" s="111"/>
      <c r="S82" s="111"/>
      <c r="T82" s="111"/>
      <c r="U82" s="111"/>
      <c r="V82" s="111"/>
      <c r="W82" s="111"/>
      <c r="X82" s="111"/>
      <c r="Y82" s="111"/>
      <c r="Z82" s="111"/>
      <c r="AA82" s="111"/>
      <c r="AB82" s="111"/>
      <c r="AC82" s="111"/>
      <c r="AD82" s="111"/>
      <c r="AE82" s="111"/>
      <c r="AF82" s="111"/>
      <c r="AG82" s="111"/>
      <c r="AH82" s="111"/>
      <c r="AI82" s="111"/>
      <c r="AJ82" s="111"/>
      <c r="AK82" s="111"/>
      <c r="AL82" s="111"/>
      <c r="AM82" s="111"/>
      <c r="AN82" s="111"/>
      <c r="AO82" s="111"/>
      <c r="AP82" s="111"/>
      <c r="AQ82" s="111"/>
      <c r="AR82" s="111"/>
      <c r="AS82" s="111"/>
      <c r="AT82" s="111"/>
      <c r="AU82" s="111"/>
      <c r="AV82" s="111"/>
      <c r="AW82" s="111"/>
      <c r="AX82" s="111"/>
      <c r="AY82" s="111"/>
      <c r="AZ82" s="111"/>
      <c r="BA82" s="146"/>
      <c r="BB82" s="104" t="s">
        <v>98</v>
      </c>
      <c r="BC82" s="72" t="s">
        <v>93</v>
      </c>
      <c r="BD82" s="72" t="s">
        <v>509</v>
      </c>
      <c r="BE82" s="72" t="s">
        <v>413</v>
      </c>
      <c r="BF82" s="146"/>
      <c r="BG82" s="112"/>
      <c r="BH82" s="113"/>
      <c r="BI82" s="146"/>
      <c r="BJ82" s="105"/>
      <c r="BK82" s="113"/>
      <c r="BL82" s="113"/>
      <c r="BM82" s="105"/>
      <c r="BN82" s="113"/>
      <c r="BO82" s="152"/>
      <c r="BP82" s="146"/>
      <c r="BQ82" s="112" t="s">
        <v>113</v>
      </c>
      <c r="BR82" s="113"/>
      <c r="BS82" s="105"/>
      <c r="BT82" s="146"/>
      <c r="BU82" s="105"/>
      <c r="BV82" s="105"/>
      <c r="BW82" s="112"/>
      <c r="BX82" s="113"/>
      <c r="BY82" s="105"/>
      <c r="BZ82" s="113"/>
      <c r="CA82" s="113"/>
      <c r="CB82" s="105"/>
      <c r="CC82" s="113"/>
      <c r="CD82" s="152"/>
      <c r="CE82" s="112"/>
      <c r="CF82" s="113"/>
      <c r="CG82" s="105"/>
      <c r="CH82" s="146"/>
      <c r="CI82" s="105"/>
      <c r="CJ82" s="105"/>
      <c r="CK82" s="112"/>
      <c r="CL82" s="113"/>
      <c r="CM82" s="105"/>
      <c r="CN82" s="152"/>
      <c r="CO82" s="152"/>
      <c r="CP82" s="105"/>
      <c r="CQ82" s="113"/>
      <c r="CR82" s="152"/>
      <c r="CS82" s="112"/>
      <c r="CT82" s="113"/>
      <c r="CU82" s="105"/>
      <c r="CV82" s="146"/>
      <c r="CW82" s="105"/>
      <c r="CX82" s="105"/>
      <c r="CY82" s="112"/>
      <c r="CZ82" s="113"/>
      <c r="DA82" s="105"/>
      <c r="DB82" s="113"/>
      <c r="DC82" s="113"/>
      <c r="DD82" s="105"/>
      <c r="DE82" s="113"/>
      <c r="DF82" s="113"/>
      <c r="DG82" s="112"/>
      <c r="DH82" s="113"/>
      <c r="DI82" s="105"/>
      <c r="DJ82" s="146"/>
      <c r="DK82" s="105"/>
      <c r="DL82" s="105"/>
      <c r="DM82" s="112"/>
      <c r="DN82" s="113"/>
      <c r="DO82" s="105"/>
      <c r="DP82" s="113"/>
      <c r="DQ82" s="113"/>
      <c r="DR82" s="105"/>
      <c r="DS82" s="113"/>
      <c r="DT82" s="113"/>
      <c r="DU82" s="112"/>
      <c r="DV82" s="113"/>
      <c r="DW82" s="105"/>
      <c r="DX82" s="146"/>
      <c r="DY82" s="105"/>
      <c r="DZ82" s="105"/>
      <c r="EA82" s="112"/>
      <c r="EB82" s="113"/>
      <c r="EC82" s="105"/>
      <c r="ED82" s="113"/>
      <c r="EE82" s="113"/>
      <c r="EF82" s="105"/>
      <c r="EG82" s="113"/>
      <c r="EH82" s="113"/>
      <c r="EI82" s="112"/>
      <c r="EJ82" s="113"/>
      <c r="EK82" s="105"/>
      <c r="EL82" s="146"/>
      <c r="EM82" s="72" t="s">
        <v>115</v>
      </c>
      <c r="EN82" s="74">
        <v>2250</v>
      </c>
      <c r="EO82" s="73"/>
      <c r="EP82" s="72" t="s">
        <v>77</v>
      </c>
      <c r="EQ82" s="72"/>
      <c r="ER82" s="75"/>
      <c r="ES82" s="76"/>
      <c r="ET82" s="77">
        <v>1</v>
      </c>
      <c r="EU82" s="77"/>
      <c r="EV82" s="78"/>
      <c r="EW82" s="72"/>
      <c r="EX82" s="72"/>
      <c r="EY82" s="72" t="s">
        <v>100</v>
      </c>
      <c r="EZ82" s="72" t="s">
        <v>114</v>
      </c>
      <c r="FA82" s="72"/>
      <c r="FB82" s="78"/>
      <c r="FC82" s="78"/>
      <c r="FD82" s="146"/>
      <c r="FE82" s="78"/>
      <c r="FF82" s="78"/>
      <c r="FG82" s="78"/>
      <c r="FH82" s="78"/>
      <c r="FI82" s="78"/>
      <c r="FJ82" s="78"/>
      <c r="FK82" s="78"/>
      <c r="FL82" s="78"/>
      <c r="FM82" s="78"/>
      <c r="FN82" s="78"/>
      <c r="FO82" s="146"/>
      <c r="FP82" s="78"/>
      <c r="FQ82" s="78"/>
      <c r="FR82" s="78"/>
      <c r="FS82" s="78"/>
      <c r="FT82" s="78"/>
      <c r="FU82" s="78"/>
      <c r="FV82" s="78"/>
      <c r="FW82" s="78"/>
      <c r="FX82" s="78"/>
      <c r="FY82" s="78"/>
    </row>
    <row r="83" spans="1:181" s="71" customFormat="1" ht="16.350000000000001" customHeight="1" x14ac:dyDescent="0.25">
      <c r="A83" s="109"/>
      <c r="B83" s="70"/>
      <c r="C83" s="110"/>
      <c r="D83" s="110"/>
      <c r="E83" s="146"/>
      <c r="F83" s="109" t="str">
        <f>mehrsprachigkeitBegriffsrückgabe(gewählteSpracheZurückgeben(), "Product (foreign language)")</f>
        <v>Produkt (Fremdsprache)</v>
      </c>
      <c r="G83" s="111"/>
      <c r="H83" s="111" t="s">
        <v>228</v>
      </c>
      <c r="I83" s="111" t="s">
        <v>94</v>
      </c>
      <c r="J83" s="111" t="s">
        <v>440</v>
      </c>
      <c r="K83" s="111"/>
      <c r="L83" s="146"/>
      <c r="M83" s="149"/>
      <c r="N83" s="111"/>
      <c r="O83" s="111"/>
      <c r="P83" s="111"/>
      <c r="Q83" s="111"/>
      <c r="R83" s="111"/>
      <c r="S83" s="111"/>
      <c r="T83" s="111"/>
      <c r="U83" s="111"/>
      <c r="V83" s="111"/>
      <c r="W83" s="111"/>
      <c r="X83" s="111"/>
      <c r="Y83" s="111"/>
      <c r="Z83" s="111"/>
      <c r="AA83" s="111"/>
      <c r="AB83" s="111"/>
      <c r="AC83" s="111"/>
      <c r="AD83" s="111"/>
      <c r="AE83" s="111"/>
      <c r="AF83" s="111"/>
      <c r="AG83" s="111"/>
      <c r="AH83" s="111"/>
      <c r="AI83" s="111"/>
      <c r="AJ83" s="111"/>
      <c r="AK83" s="111"/>
      <c r="AL83" s="111"/>
      <c r="AM83" s="111"/>
      <c r="AN83" s="111"/>
      <c r="AO83" s="111"/>
      <c r="AP83" s="111"/>
      <c r="AQ83" s="111"/>
      <c r="AR83" s="111"/>
      <c r="AS83" s="111"/>
      <c r="AT83" s="111"/>
      <c r="AU83" s="111"/>
      <c r="AV83" s="111"/>
      <c r="AW83" s="111"/>
      <c r="AX83" s="111"/>
      <c r="AY83" s="111"/>
      <c r="AZ83" s="111"/>
      <c r="BA83" s="146"/>
      <c r="BB83" s="104" t="s">
        <v>99</v>
      </c>
      <c r="BC83" s="72" t="s">
        <v>95</v>
      </c>
      <c r="BD83" s="72"/>
      <c r="BE83" s="72"/>
      <c r="BF83" s="146"/>
      <c r="BG83" s="112"/>
      <c r="BH83" s="113"/>
      <c r="BI83" s="146"/>
      <c r="BJ83" s="105"/>
      <c r="BK83" s="113"/>
      <c r="BL83" s="113"/>
      <c r="BM83" s="105"/>
      <c r="BN83" s="113"/>
      <c r="BO83" s="113"/>
      <c r="BP83" s="146"/>
      <c r="BQ83" s="112" t="s">
        <v>113</v>
      </c>
      <c r="BR83" s="113"/>
      <c r="BS83" s="105"/>
      <c r="BT83" s="146"/>
      <c r="BU83" s="105"/>
      <c r="BV83" s="105"/>
      <c r="BW83" s="112"/>
      <c r="BX83" s="113"/>
      <c r="BY83" s="105"/>
      <c r="BZ83" s="113"/>
      <c r="CA83" s="113"/>
      <c r="CB83" s="105"/>
      <c r="CC83" s="113"/>
      <c r="CD83" s="113"/>
      <c r="CE83" s="112"/>
      <c r="CF83" s="113"/>
      <c r="CG83" s="105"/>
      <c r="CH83" s="146"/>
      <c r="CI83" s="105"/>
      <c r="CJ83" s="105"/>
      <c r="CK83" s="112"/>
      <c r="CL83" s="113"/>
      <c r="CM83" s="105"/>
      <c r="CN83" s="113"/>
      <c r="CO83" s="113"/>
      <c r="CP83" s="105"/>
      <c r="CQ83" s="113"/>
      <c r="CR83" s="113"/>
      <c r="CS83" s="112"/>
      <c r="CT83" s="113"/>
      <c r="CU83" s="105"/>
      <c r="CV83" s="146"/>
      <c r="CW83" s="105"/>
      <c r="CX83" s="105"/>
      <c r="CY83" s="112"/>
      <c r="CZ83" s="113"/>
      <c r="DA83" s="105"/>
      <c r="DB83" s="113"/>
      <c r="DC83" s="113"/>
      <c r="DD83" s="105"/>
      <c r="DE83" s="113"/>
      <c r="DF83" s="113"/>
      <c r="DG83" s="112"/>
      <c r="DH83" s="113"/>
      <c r="DI83" s="105"/>
      <c r="DJ83" s="146"/>
      <c r="DK83" s="105"/>
      <c r="DL83" s="105"/>
      <c r="DM83" s="112"/>
      <c r="DN83" s="113"/>
      <c r="DO83" s="105"/>
      <c r="DP83" s="113"/>
      <c r="DQ83" s="113"/>
      <c r="DR83" s="105"/>
      <c r="DS83" s="113"/>
      <c r="DT83" s="113"/>
      <c r="DU83" s="112"/>
      <c r="DV83" s="113"/>
      <c r="DW83" s="105"/>
      <c r="DX83" s="146"/>
      <c r="DY83" s="105"/>
      <c r="DZ83" s="105"/>
      <c r="EA83" s="112"/>
      <c r="EB83" s="113"/>
      <c r="EC83" s="105"/>
      <c r="ED83" s="113"/>
      <c r="EE83" s="113"/>
      <c r="EF83" s="105"/>
      <c r="EG83" s="113"/>
      <c r="EH83" s="113"/>
      <c r="EI83" s="112"/>
      <c r="EJ83" s="113"/>
      <c r="EK83" s="105"/>
      <c r="EL83" s="146"/>
      <c r="EM83" s="72"/>
      <c r="EN83" s="74"/>
      <c r="EO83" s="73"/>
      <c r="EP83" s="72" t="s">
        <v>96</v>
      </c>
      <c r="EQ83" s="72"/>
      <c r="ER83" s="75"/>
      <c r="ES83" s="76"/>
      <c r="ET83" s="77"/>
      <c r="EU83" s="77"/>
      <c r="EV83" s="78"/>
      <c r="EW83" s="72"/>
      <c r="EX83" s="72"/>
      <c r="EY83" s="72"/>
      <c r="EZ83" s="72"/>
      <c r="FA83" s="72"/>
      <c r="FB83" s="78"/>
      <c r="FC83" s="78"/>
      <c r="FD83" s="146"/>
      <c r="FE83" s="78"/>
      <c r="FF83" s="78"/>
      <c r="FG83" s="78"/>
      <c r="FO83" s="146"/>
      <c r="FP83" s="78"/>
      <c r="FQ83" s="78"/>
      <c r="FR83" s="78"/>
    </row>
    <row r="84" spans="1:181" s="71" customFormat="1" ht="16.350000000000001" customHeight="1" x14ac:dyDescent="0.25">
      <c r="A84" s="109"/>
      <c r="B84" s="70"/>
      <c r="C84" s="110"/>
      <c r="D84" s="110">
        <v>1</v>
      </c>
      <c r="E84" s="146"/>
      <c r="F84" s="109" t="str">
        <f>mehrsprachigkeitBegriffsrückgabe(gewählteSpracheZurückgeben(), "Product")</f>
        <v>Produkt</v>
      </c>
      <c r="G84" s="111" t="s">
        <v>229</v>
      </c>
      <c r="H84" s="111"/>
      <c r="I84" s="111" t="s">
        <v>86</v>
      </c>
      <c r="J84" s="111" t="s">
        <v>441</v>
      </c>
      <c r="K84" s="111"/>
      <c r="L84" s="146"/>
      <c r="M84" s="149" t="s">
        <v>392</v>
      </c>
      <c r="N84" s="111" t="s">
        <v>393</v>
      </c>
      <c r="O84" s="114" t="s">
        <v>392</v>
      </c>
      <c r="P84" s="114" t="s">
        <v>402</v>
      </c>
      <c r="Q84" s="111"/>
      <c r="R84" s="111"/>
      <c r="S84" s="111"/>
      <c r="T84" s="111"/>
      <c r="U84" s="111"/>
      <c r="V84" s="111"/>
      <c r="W84" s="111"/>
      <c r="X84" s="111"/>
      <c r="Y84" s="111"/>
      <c r="Z84" s="111"/>
      <c r="AA84" s="111"/>
      <c r="AB84" s="111"/>
      <c r="AC84" s="111"/>
      <c r="AD84" s="111"/>
      <c r="AE84" s="111"/>
      <c r="AF84" s="111"/>
      <c r="AG84" s="111"/>
      <c r="AH84" s="111"/>
      <c r="AI84" s="111"/>
      <c r="AJ84" s="111"/>
      <c r="AK84" s="111"/>
      <c r="AL84" s="111"/>
      <c r="AM84" s="111"/>
      <c r="AN84" s="111"/>
      <c r="AO84" s="111"/>
      <c r="AP84" s="111"/>
      <c r="AQ84" s="111"/>
      <c r="AR84" s="111"/>
      <c r="AS84" s="111"/>
      <c r="AT84" s="111"/>
      <c r="AU84" s="111"/>
      <c r="AV84" s="111"/>
      <c r="AW84" s="111"/>
      <c r="AX84" s="111"/>
      <c r="AY84" s="111"/>
      <c r="AZ84" s="111"/>
      <c r="BA84" s="146"/>
      <c r="BB84" s="104" t="s">
        <v>98</v>
      </c>
      <c r="BC84" s="72" t="s">
        <v>93</v>
      </c>
      <c r="BD84" s="72" t="s">
        <v>509</v>
      </c>
      <c r="BE84" s="72" t="s">
        <v>415</v>
      </c>
      <c r="BF84" s="146"/>
      <c r="BG84" s="112"/>
      <c r="BH84" s="113"/>
      <c r="BI84" s="146"/>
      <c r="BJ84" s="105"/>
      <c r="BK84" s="113"/>
      <c r="BL84" s="113"/>
      <c r="BM84" s="105"/>
      <c r="BN84" s="113"/>
      <c r="BO84" s="152"/>
      <c r="BP84" s="146"/>
      <c r="BQ84" s="112" t="s">
        <v>113</v>
      </c>
      <c r="BR84" s="113"/>
      <c r="BS84" s="105"/>
      <c r="BT84" s="146"/>
      <c r="BU84" s="105"/>
      <c r="BV84" s="105"/>
      <c r="BW84" s="112"/>
      <c r="BX84" s="113"/>
      <c r="BY84" s="105"/>
      <c r="BZ84" s="113"/>
      <c r="CA84" s="113"/>
      <c r="CB84" s="105"/>
      <c r="CC84" s="113"/>
      <c r="CD84" s="152"/>
      <c r="CE84" s="112"/>
      <c r="CF84" s="113"/>
      <c r="CG84" s="105"/>
      <c r="CH84" s="146"/>
      <c r="CI84" s="105"/>
      <c r="CJ84" s="105"/>
      <c r="CK84" s="112"/>
      <c r="CL84" s="113"/>
      <c r="CM84" s="105"/>
      <c r="CN84" s="152"/>
      <c r="CO84" s="152"/>
      <c r="CP84" s="105"/>
      <c r="CQ84" s="113"/>
      <c r="CR84" s="152"/>
      <c r="CS84" s="112"/>
      <c r="CT84" s="113"/>
      <c r="CU84" s="105"/>
      <c r="CV84" s="146"/>
      <c r="CW84" s="105"/>
      <c r="CX84" s="105"/>
      <c r="CY84" s="112"/>
      <c r="CZ84" s="113"/>
      <c r="DA84" s="105"/>
      <c r="DB84" s="113"/>
      <c r="DC84" s="113"/>
      <c r="DD84" s="105"/>
      <c r="DE84" s="113"/>
      <c r="DF84" s="113"/>
      <c r="DG84" s="112"/>
      <c r="DH84" s="113"/>
      <c r="DI84" s="105"/>
      <c r="DJ84" s="146"/>
      <c r="DK84" s="105"/>
      <c r="DL84" s="105"/>
      <c r="DM84" s="112"/>
      <c r="DN84" s="113"/>
      <c r="DO84" s="105"/>
      <c r="DP84" s="113"/>
      <c r="DQ84" s="113"/>
      <c r="DR84" s="105"/>
      <c r="DS84" s="113"/>
      <c r="DT84" s="113"/>
      <c r="DU84" s="112"/>
      <c r="DV84" s="113"/>
      <c r="DW84" s="105"/>
      <c r="DX84" s="146"/>
      <c r="DY84" s="105"/>
      <c r="DZ84" s="105"/>
      <c r="EA84" s="112"/>
      <c r="EB84" s="113"/>
      <c r="EC84" s="105"/>
      <c r="ED84" s="113"/>
      <c r="EE84" s="113"/>
      <c r="EF84" s="105"/>
      <c r="EG84" s="113"/>
      <c r="EH84" s="113"/>
      <c r="EI84" s="112"/>
      <c r="EJ84" s="113"/>
      <c r="EK84" s="105"/>
      <c r="EL84" s="146"/>
      <c r="EM84" s="72" t="s">
        <v>115</v>
      </c>
      <c r="EN84" s="74">
        <v>2250</v>
      </c>
      <c r="EO84" s="73"/>
      <c r="EP84" s="72" t="s">
        <v>77</v>
      </c>
      <c r="EQ84" s="72"/>
      <c r="ER84" s="75"/>
      <c r="ES84" s="76"/>
      <c r="ET84" s="77"/>
      <c r="EU84" s="77"/>
      <c r="EV84" s="78"/>
      <c r="EW84" s="72"/>
      <c r="EX84" s="72"/>
      <c r="EY84" s="72" t="s">
        <v>100</v>
      </c>
      <c r="EZ84" s="72" t="s">
        <v>114</v>
      </c>
      <c r="FA84" s="72"/>
      <c r="FB84" s="78"/>
      <c r="FC84" s="78"/>
      <c r="FD84" s="146"/>
      <c r="FE84" s="78"/>
      <c r="FF84" s="78"/>
      <c r="FG84" s="78"/>
      <c r="FH84" s="78"/>
      <c r="FI84" s="78"/>
      <c r="FJ84" s="78"/>
      <c r="FK84" s="78"/>
      <c r="FL84" s="78"/>
      <c r="FM84" s="78"/>
      <c r="FN84" s="78"/>
      <c r="FO84" s="146"/>
      <c r="FP84" s="78"/>
      <c r="FQ84" s="78"/>
      <c r="FR84" s="78"/>
      <c r="FS84" s="78"/>
      <c r="FT84" s="78"/>
      <c r="FU84" s="78"/>
      <c r="FV84" s="78"/>
      <c r="FW84" s="78"/>
      <c r="FX84" s="78"/>
      <c r="FY84" s="78"/>
    </row>
    <row r="85" spans="1:181" s="71" customFormat="1" ht="16.350000000000001" customHeight="1" x14ac:dyDescent="0.25">
      <c r="A85" s="109"/>
      <c r="B85" s="70"/>
      <c r="C85" s="110"/>
      <c r="D85" s="110"/>
      <c r="E85" s="146"/>
      <c r="F85" s="109" t="str">
        <f>mehrsprachigkeitBegriffsrückgabe(gewählteSpracheZurückgeben(), "Product (foreign language)")</f>
        <v>Produkt (Fremdsprache)</v>
      </c>
      <c r="G85" s="111"/>
      <c r="H85" s="111" t="s">
        <v>229</v>
      </c>
      <c r="I85" s="111" t="s">
        <v>94</v>
      </c>
      <c r="J85" s="111" t="s">
        <v>442</v>
      </c>
      <c r="K85" s="111"/>
      <c r="L85" s="146"/>
      <c r="M85" s="149"/>
      <c r="N85" s="111"/>
      <c r="O85" s="111"/>
      <c r="P85" s="111"/>
      <c r="Q85" s="111"/>
      <c r="R85" s="111"/>
      <c r="S85" s="111"/>
      <c r="T85" s="111"/>
      <c r="U85" s="111"/>
      <c r="V85" s="111"/>
      <c r="W85" s="111"/>
      <c r="X85" s="111"/>
      <c r="Y85" s="111"/>
      <c r="Z85" s="111"/>
      <c r="AA85" s="111"/>
      <c r="AB85" s="111"/>
      <c r="AC85" s="111"/>
      <c r="AD85" s="111"/>
      <c r="AE85" s="111"/>
      <c r="AF85" s="111"/>
      <c r="AG85" s="111"/>
      <c r="AH85" s="111"/>
      <c r="AI85" s="111"/>
      <c r="AJ85" s="111"/>
      <c r="AK85" s="111"/>
      <c r="AL85" s="111"/>
      <c r="AM85" s="111"/>
      <c r="AN85" s="111"/>
      <c r="AO85" s="111"/>
      <c r="AP85" s="111"/>
      <c r="AQ85" s="111"/>
      <c r="AR85" s="111"/>
      <c r="AS85" s="111"/>
      <c r="AT85" s="111"/>
      <c r="AU85" s="111"/>
      <c r="AV85" s="111"/>
      <c r="AW85" s="111"/>
      <c r="AX85" s="111"/>
      <c r="AY85" s="111"/>
      <c r="AZ85" s="111"/>
      <c r="BA85" s="146"/>
      <c r="BB85" s="104" t="s">
        <v>99</v>
      </c>
      <c r="BC85" s="72" t="s">
        <v>95</v>
      </c>
      <c r="BD85" s="72"/>
      <c r="BE85" s="72"/>
      <c r="BF85" s="146"/>
      <c r="BG85" s="112"/>
      <c r="BH85" s="113"/>
      <c r="BI85" s="146"/>
      <c r="BJ85" s="105"/>
      <c r="BK85" s="113"/>
      <c r="BL85" s="113"/>
      <c r="BM85" s="105"/>
      <c r="BN85" s="113"/>
      <c r="BO85" s="113"/>
      <c r="BP85" s="146"/>
      <c r="BQ85" s="112" t="s">
        <v>113</v>
      </c>
      <c r="BR85" s="113"/>
      <c r="BS85" s="105"/>
      <c r="BT85" s="146"/>
      <c r="BU85" s="105"/>
      <c r="BV85" s="105"/>
      <c r="BW85" s="112"/>
      <c r="BX85" s="113"/>
      <c r="BY85" s="105"/>
      <c r="BZ85" s="113"/>
      <c r="CA85" s="113"/>
      <c r="CB85" s="105"/>
      <c r="CC85" s="113"/>
      <c r="CD85" s="113"/>
      <c r="CE85" s="112"/>
      <c r="CF85" s="113"/>
      <c r="CG85" s="105"/>
      <c r="CH85" s="146"/>
      <c r="CI85" s="105"/>
      <c r="CJ85" s="105"/>
      <c r="CK85" s="112"/>
      <c r="CL85" s="113"/>
      <c r="CM85" s="105"/>
      <c r="CN85" s="113"/>
      <c r="CO85" s="113"/>
      <c r="CP85" s="105"/>
      <c r="CQ85" s="113"/>
      <c r="CR85" s="113"/>
      <c r="CS85" s="112"/>
      <c r="CT85" s="113"/>
      <c r="CU85" s="105"/>
      <c r="CV85" s="146"/>
      <c r="CW85" s="105"/>
      <c r="CX85" s="105"/>
      <c r="CY85" s="112"/>
      <c r="CZ85" s="113"/>
      <c r="DA85" s="105"/>
      <c r="DB85" s="113"/>
      <c r="DC85" s="113"/>
      <c r="DD85" s="105"/>
      <c r="DE85" s="113"/>
      <c r="DF85" s="113"/>
      <c r="DG85" s="112"/>
      <c r="DH85" s="113"/>
      <c r="DI85" s="105"/>
      <c r="DJ85" s="146"/>
      <c r="DK85" s="105"/>
      <c r="DL85" s="105"/>
      <c r="DM85" s="112"/>
      <c r="DN85" s="113"/>
      <c r="DO85" s="105"/>
      <c r="DP85" s="113"/>
      <c r="DQ85" s="113"/>
      <c r="DR85" s="105"/>
      <c r="DS85" s="113"/>
      <c r="DT85" s="113"/>
      <c r="DU85" s="112"/>
      <c r="DV85" s="113"/>
      <c r="DW85" s="105"/>
      <c r="DX85" s="146"/>
      <c r="DY85" s="105"/>
      <c r="DZ85" s="105"/>
      <c r="EA85" s="112"/>
      <c r="EB85" s="113"/>
      <c r="EC85" s="105"/>
      <c r="ED85" s="113"/>
      <c r="EE85" s="113"/>
      <c r="EF85" s="105"/>
      <c r="EG85" s="113"/>
      <c r="EH85" s="113"/>
      <c r="EI85" s="112"/>
      <c r="EJ85" s="113"/>
      <c r="EK85" s="105"/>
      <c r="EL85" s="146"/>
      <c r="EM85" s="72"/>
      <c r="EN85" s="74"/>
      <c r="EO85" s="73"/>
      <c r="EP85" s="72" t="s">
        <v>96</v>
      </c>
      <c r="EQ85" s="72"/>
      <c r="ER85" s="75"/>
      <c r="ES85" s="76"/>
      <c r="ET85" s="77"/>
      <c r="EU85" s="77"/>
      <c r="EV85" s="78"/>
      <c r="EW85" s="72"/>
      <c r="EX85" s="72"/>
      <c r="EY85" s="72"/>
      <c r="EZ85" s="72"/>
      <c r="FA85" s="72"/>
      <c r="FB85" s="78"/>
      <c r="FC85" s="78"/>
      <c r="FD85" s="146"/>
      <c r="FE85" s="78"/>
      <c r="FF85" s="78"/>
      <c r="FG85" s="78"/>
      <c r="FO85" s="146"/>
      <c r="FP85" s="78"/>
      <c r="FQ85" s="78"/>
      <c r="FR85" s="78"/>
    </row>
    <row r="86" spans="1:181" s="71" customFormat="1" ht="16.350000000000001" customHeight="1" x14ac:dyDescent="0.25">
      <c r="A86" s="109"/>
      <c r="B86" s="70"/>
      <c r="C86" s="110"/>
      <c r="D86" s="110">
        <v>1</v>
      </c>
      <c r="E86" s="146"/>
      <c r="F86" s="109" t="str">
        <f>mehrsprachigkeitBegriffsrückgabe(gewählteSpracheZurückgeben(), "Product")</f>
        <v>Produkt</v>
      </c>
      <c r="G86" s="111" t="s">
        <v>230</v>
      </c>
      <c r="H86" s="111"/>
      <c r="I86" s="111" t="s">
        <v>86</v>
      </c>
      <c r="J86" s="111" t="s">
        <v>443</v>
      </c>
      <c r="K86" s="111"/>
      <c r="L86" s="146"/>
      <c r="M86" s="149" t="s">
        <v>392</v>
      </c>
      <c r="N86" s="111" t="s">
        <v>396</v>
      </c>
      <c r="O86" s="114"/>
      <c r="P86" s="114"/>
      <c r="Q86" s="111"/>
      <c r="R86" s="111"/>
      <c r="S86" s="111"/>
      <c r="T86" s="111"/>
      <c r="U86" s="111"/>
      <c r="V86" s="111"/>
      <c r="W86" s="111"/>
      <c r="X86" s="111"/>
      <c r="Y86" s="111"/>
      <c r="Z86" s="111"/>
      <c r="AA86" s="111"/>
      <c r="AB86" s="111"/>
      <c r="AC86" s="111"/>
      <c r="AD86" s="111"/>
      <c r="AE86" s="111"/>
      <c r="AF86" s="111"/>
      <c r="AG86" s="111"/>
      <c r="AH86" s="111"/>
      <c r="AI86" s="111"/>
      <c r="AJ86" s="111"/>
      <c r="AK86" s="111"/>
      <c r="AL86" s="111"/>
      <c r="AM86" s="111"/>
      <c r="AN86" s="111"/>
      <c r="AO86" s="111"/>
      <c r="AP86" s="111"/>
      <c r="AQ86" s="111"/>
      <c r="AR86" s="111"/>
      <c r="AS86" s="111"/>
      <c r="AT86" s="111"/>
      <c r="AU86" s="111"/>
      <c r="AV86" s="111"/>
      <c r="AW86" s="111"/>
      <c r="AX86" s="111"/>
      <c r="AY86" s="111"/>
      <c r="AZ86" s="111"/>
      <c r="BA86" s="146"/>
      <c r="BB86" s="104" t="s">
        <v>98</v>
      </c>
      <c r="BC86" s="72" t="s">
        <v>93</v>
      </c>
      <c r="BD86" s="72" t="s">
        <v>509</v>
      </c>
      <c r="BE86" s="72" t="s">
        <v>416</v>
      </c>
      <c r="BF86" s="146"/>
      <c r="BG86" s="112"/>
      <c r="BH86" s="113"/>
      <c r="BI86" s="146"/>
      <c r="BJ86" s="105"/>
      <c r="BK86" s="113"/>
      <c r="BL86" s="113"/>
      <c r="BM86" s="105"/>
      <c r="BN86" s="113"/>
      <c r="BO86" s="152"/>
      <c r="BP86" s="146"/>
      <c r="BQ86" s="112">
        <v>79.900000000000006</v>
      </c>
      <c r="BR86" s="113"/>
      <c r="BS86" s="105">
        <v>1</v>
      </c>
      <c r="BT86" s="146"/>
      <c r="BU86" s="105"/>
      <c r="BV86" s="105"/>
      <c r="BW86" s="112"/>
      <c r="BX86" s="113"/>
      <c r="BY86" s="105"/>
      <c r="BZ86" s="113"/>
      <c r="CA86" s="113"/>
      <c r="CB86" s="105"/>
      <c r="CC86" s="113"/>
      <c r="CD86" s="152"/>
      <c r="CE86" s="112"/>
      <c r="CF86" s="113"/>
      <c r="CG86" s="105"/>
      <c r="CH86" s="146"/>
      <c r="CI86" s="105"/>
      <c r="CJ86" s="105"/>
      <c r="CK86" s="112"/>
      <c r="CL86" s="113"/>
      <c r="CM86" s="105"/>
      <c r="CN86" s="152"/>
      <c r="CO86" s="152"/>
      <c r="CP86" s="105"/>
      <c r="CQ86" s="113"/>
      <c r="CR86" s="152"/>
      <c r="CS86" s="112"/>
      <c r="CT86" s="113"/>
      <c r="CU86" s="105"/>
      <c r="CV86" s="146"/>
      <c r="CW86" s="105"/>
      <c r="CX86" s="105"/>
      <c r="CY86" s="112"/>
      <c r="CZ86" s="113"/>
      <c r="DA86" s="105"/>
      <c r="DB86" s="113"/>
      <c r="DC86" s="113"/>
      <c r="DD86" s="105"/>
      <c r="DE86" s="113"/>
      <c r="DF86" s="113"/>
      <c r="DG86" s="112"/>
      <c r="DH86" s="113"/>
      <c r="DI86" s="105"/>
      <c r="DJ86" s="146"/>
      <c r="DK86" s="105"/>
      <c r="DL86" s="105"/>
      <c r="DM86" s="112"/>
      <c r="DN86" s="113"/>
      <c r="DO86" s="105"/>
      <c r="DP86" s="113"/>
      <c r="DQ86" s="113"/>
      <c r="DR86" s="105"/>
      <c r="DS86" s="113"/>
      <c r="DT86" s="113"/>
      <c r="DU86" s="112"/>
      <c r="DV86" s="113"/>
      <c r="DW86" s="105"/>
      <c r="DX86" s="146"/>
      <c r="DY86" s="105"/>
      <c r="DZ86" s="105"/>
      <c r="EA86" s="112"/>
      <c r="EB86" s="113"/>
      <c r="EC86" s="105"/>
      <c r="ED86" s="113"/>
      <c r="EE86" s="113"/>
      <c r="EF86" s="105"/>
      <c r="EG86" s="113"/>
      <c r="EH86" s="113"/>
      <c r="EI86" s="112"/>
      <c r="EJ86" s="113"/>
      <c r="EK86" s="105"/>
      <c r="EL86" s="146"/>
      <c r="EM86" s="72" t="s">
        <v>115</v>
      </c>
      <c r="EN86" s="74">
        <v>2250</v>
      </c>
      <c r="EO86" s="73"/>
      <c r="EP86" s="72" t="s">
        <v>77</v>
      </c>
      <c r="EQ86" s="72"/>
      <c r="ER86" s="75"/>
      <c r="ES86" s="76"/>
      <c r="ET86" s="77"/>
      <c r="EU86" s="77">
        <v>1</v>
      </c>
      <c r="EV86" s="78"/>
      <c r="EW86" s="72"/>
      <c r="EX86" s="72"/>
      <c r="EY86" s="72" t="s">
        <v>100</v>
      </c>
      <c r="EZ86" s="72" t="s">
        <v>114</v>
      </c>
      <c r="FA86" s="72"/>
      <c r="FB86" s="78"/>
      <c r="FC86" s="78"/>
      <c r="FD86" s="146"/>
      <c r="FE86" s="78"/>
      <c r="FF86" s="78"/>
      <c r="FG86" s="78"/>
      <c r="FH86" s="78"/>
      <c r="FI86" s="78"/>
      <c r="FJ86" s="78"/>
      <c r="FK86" s="78"/>
      <c r="FL86" s="78"/>
      <c r="FM86" s="78"/>
      <c r="FN86" s="78"/>
      <c r="FO86" s="146"/>
      <c r="FP86" s="78"/>
      <c r="FQ86" s="78"/>
      <c r="FR86" s="78"/>
      <c r="FS86" s="78"/>
      <c r="FT86" s="78"/>
      <c r="FU86" s="78"/>
      <c r="FV86" s="78"/>
      <c r="FW86" s="78"/>
      <c r="FX86" s="78"/>
      <c r="FY86" s="78"/>
    </row>
    <row r="87" spans="1:181" s="71" customFormat="1" ht="16.350000000000001" customHeight="1" x14ac:dyDescent="0.25">
      <c r="A87" s="109"/>
      <c r="B87" s="70"/>
      <c r="C87" s="110"/>
      <c r="D87" s="110"/>
      <c r="E87" s="146"/>
      <c r="F87" s="109" t="str">
        <f>mehrsprachigkeitBegriffsrückgabe(gewählteSpracheZurückgeben(), "Product (foreign language)")</f>
        <v>Produkt (Fremdsprache)</v>
      </c>
      <c r="G87" s="111"/>
      <c r="H87" s="111" t="s">
        <v>230</v>
      </c>
      <c r="I87" s="111" t="s">
        <v>94</v>
      </c>
      <c r="J87" s="111" t="s">
        <v>444</v>
      </c>
      <c r="K87" s="111"/>
      <c r="L87" s="146"/>
      <c r="M87" s="149"/>
      <c r="N87" s="111"/>
      <c r="O87" s="111"/>
      <c r="P87" s="111"/>
      <c r="Q87" s="111"/>
      <c r="R87" s="111"/>
      <c r="S87" s="111"/>
      <c r="T87" s="111"/>
      <c r="U87" s="111"/>
      <c r="V87" s="111"/>
      <c r="W87" s="111"/>
      <c r="X87" s="111"/>
      <c r="Y87" s="111"/>
      <c r="Z87" s="111"/>
      <c r="AA87" s="111"/>
      <c r="AB87" s="111"/>
      <c r="AC87" s="111"/>
      <c r="AD87" s="111"/>
      <c r="AE87" s="111"/>
      <c r="AF87" s="111"/>
      <c r="AG87" s="111"/>
      <c r="AH87" s="111"/>
      <c r="AI87" s="111"/>
      <c r="AJ87" s="111"/>
      <c r="AK87" s="111"/>
      <c r="AL87" s="111"/>
      <c r="AM87" s="111"/>
      <c r="AN87" s="111"/>
      <c r="AO87" s="111"/>
      <c r="AP87" s="111"/>
      <c r="AQ87" s="111"/>
      <c r="AR87" s="111"/>
      <c r="AS87" s="111"/>
      <c r="AT87" s="111"/>
      <c r="AU87" s="111"/>
      <c r="AV87" s="111"/>
      <c r="AW87" s="111"/>
      <c r="AX87" s="111"/>
      <c r="AY87" s="111"/>
      <c r="AZ87" s="111"/>
      <c r="BA87" s="146"/>
      <c r="BB87" s="104" t="s">
        <v>99</v>
      </c>
      <c r="BC87" s="72" t="s">
        <v>95</v>
      </c>
      <c r="BD87" s="72"/>
      <c r="BE87" s="72"/>
      <c r="BF87" s="146"/>
      <c r="BG87" s="112"/>
      <c r="BH87" s="113"/>
      <c r="BI87" s="146"/>
      <c r="BJ87" s="105"/>
      <c r="BK87" s="113"/>
      <c r="BL87" s="113"/>
      <c r="BM87" s="105"/>
      <c r="BN87" s="113"/>
      <c r="BO87" s="113"/>
      <c r="BP87" s="146"/>
      <c r="BQ87" s="112" t="s">
        <v>113</v>
      </c>
      <c r="BR87" s="113"/>
      <c r="BS87" s="105"/>
      <c r="BT87" s="146"/>
      <c r="BU87" s="105"/>
      <c r="BV87" s="105"/>
      <c r="BW87" s="112"/>
      <c r="BX87" s="113"/>
      <c r="BY87" s="105"/>
      <c r="BZ87" s="113"/>
      <c r="CA87" s="113"/>
      <c r="CB87" s="105"/>
      <c r="CC87" s="113"/>
      <c r="CD87" s="113"/>
      <c r="CE87" s="112"/>
      <c r="CF87" s="113"/>
      <c r="CG87" s="105"/>
      <c r="CH87" s="146"/>
      <c r="CI87" s="105"/>
      <c r="CJ87" s="105"/>
      <c r="CK87" s="112"/>
      <c r="CL87" s="113"/>
      <c r="CM87" s="105"/>
      <c r="CN87" s="113"/>
      <c r="CO87" s="113"/>
      <c r="CP87" s="105"/>
      <c r="CQ87" s="113"/>
      <c r="CR87" s="113"/>
      <c r="CS87" s="112"/>
      <c r="CT87" s="113"/>
      <c r="CU87" s="105"/>
      <c r="CV87" s="146"/>
      <c r="CW87" s="105"/>
      <c r="CX87" s="105"/>
      <c r="CY87" s="112"/>
      <c r="CZ87" s="113"/>
      <c r="DA87" s="105"/>
      <c r="DB87" s="113"/>
      <c r="DC87" s="113"/>
      <c r="DD87" s="105"/>
      <c r="DE87" s="113"/>
      <c r="DF87" s="113"/>
      <c r="DG87" s="112"/>
      <c r="DH87" s="113"/>
      <c r="DI87" s="105"/>
      <c r="DJ87" s="146"/>
      <c r="DK87" s="105"/>
      <c r="DL87" s="105"/>
      <c r="DM87" s="112"/>
      <c r="DN87" s="113"/>
      <c r="DO87" s="105"/>
      <c r="DP87" s="113"/>
      <c r="DQ87" s="113"/>
      <c r="DR87" s="105"/>
      <c r="DS87" s="113"/>
      <c r="DT87" s="113"/>
      <c r="DU87" s="112"/>
      <c r="DV87" s="113"/>
      <c r="DW87" s="105"/>
      <c r="DX87" s="146"/>
      <c r="DY87" s="105"/>
      <c r="DZ87" s="105"/>
      <c r="EA87" s="112"/>
      <c r="EB87" s="113"/>
      <c r="EC87" s="105"/>
      <c r="ED87" s="113"/>
      <c r="EE87" s="113"/>
      <c r="EF87" s="105"/>
      <c r="EG87" s="113"/>
      <c r="EH87" s="113"/>
      <c r="EI87" s="112"/>
      <c r="EJ87" s="113"/>
      <c r="EK87" s="105"/>
      <c r="EL87" s="146"/>
      <c r="EM87" s="72"/>
      <c r="EN87" s="74"/>
      <c r="EO87" s="73"/>
      <c r="EP87" s="72" t="s">
        <v>96</v>
      </c>
      <c r="EQ87" s="72"/>
      <c r="ER87" s="75"/>
      <c r="ES87" s="76"/>
      <c r="ET87" s="77"/>
      <c r="EU87" s="77"/>
      <c r="EV87" s="78"/>
      <c r="EW87" s="72"/>
      <c r="EX87" s="72"/>
      <c r="EY87" s="72"/>
      <c r="EZ87" s="72"/>
      <c r="FA87" s="72"/>
      <c r="FB87" s="78"/>
      <c r="FC87" s="78"/>
      <c r="FD87" s="146"/>
      <c r="FE87" s="78"/>
      <c r="FF87" s="78"/>
      <c r="FG87" s="78"/>
      <c r="FO87" s="146"/>
      <c r="FP87" s="78"/>
      <c r="FQ87" s="78"/>
      <c r="FR87" s="78"/>
    </row>
    <row r="88" spans="1:181" s="71" customFormat="1" ht="16.350000000000001" customHeight="1" x14ac:dyDescent="0.25">
      <c r="A88" s="109"/>
      <c r="B88" s="70"/>
      <c r="C88" s="110"/>
      <c r="D88" s="110">
        <v>1</v>
      </c>
      <c r="E88" s="146"/>
      <c r="F88" s="109" t="str">
        <f>mehrsprachigkeitBegriffsrückgabe(gewählteSpracheZurückgeben(), "Product")</f>
        <v>Produkt</v>
      </c>
      <c r="G88" s="111" t="s">
        <v>231</v>
      </c>
      <c r="H88" s="111"/>
      <c r="I88" s="111" t="s">
        <v>86</v>
      </c>
      <c r="J88" s="111" t="s">
        <v>445</v>
      </c>
      <c r="K88" s="111"/>
      <c r="L88" s="146"/>
      <c r="M88" s="149" t="s">
        <v>392</v>
      </c>
      <c r="N88" s="111" t="s">
        <v>400</v>
      </c>
      <c r="O88" s="114"/>
      <c r="P88" s="114"/>
      <c r="Q88" s="111"/>
      <c r="R88" s="111"/>
      <c r="S88" s="111"/>
      <c r="T88" s="111"/>
      <c r="U88" s="111"/>
      <c r="V88" s="111"/>
      <c r="W88" s="111"/>
      <c r="X88" s="111"/>
      <c r="Y88" s="111"/>
      <c r="Z88" s="111"/>
      <c r="AA88" s="111"/>
      <c r="AB88" s="111"/>
      <c r="AC88" s="111"/>
      <c r="AD88" s="111"/>
      <c r="AE88" s="111"/>
      <c r="AF88" s="111"/>
      <c r="AG88" s="111"/>
      <c r="AH88" s="111"/>
      <c r="AI88" s="111"/>
      <c r="AJ88" s="111"/>
      <c r="AK88" s="111"/>
      <c r="AL88" s="111"/>
      <c r="AM88" s="111"/>
      <c r="AN88" s="111"/>
      <c r="AO88" s="111"/>
      <c r="AP88" s="111"/>
      <c r="AQ88" s="111"/>
      <c r="AR88" s="111"/>
      <c r="AS88" s="111"/>
      <c r="AT88" s="111"/>
      <c r="AU88" s="111"/>
      <c r="AV88" s="111"/>
      <c r="AW88" s="111"/>
      <c r="AX88" s="111"/>
      <c r="AY88" s="111"/>
      <c r="AZ88" s="111"/>
      <c r="BA88" s="146"/>
      <c r="BB88" s="104" t="s">
        <v>98</v>
      </c>
      <c r="BC88" s="72" t="s">
        <v>93</v>
      </c>
      <c r="BD88" s="72" t="s">
        <v>509</v>
      </c>
      <c r="BE88" s="72" t="s">
        <v>417</v>
      </c>
      <c r="BF88" s="146"/>
      <c r="BG88" s="112"/>
      <c r="BH88" s="113"/>
      <c r="BI88" s="146"/>
      <c r="BJ88" s="105"/>
      <c r="BK88" s="113"/>
      <c r="BL88" s="113"/>
      <c r="BM88" s="105"/>
      <c r="BN88" s="113"/>
      <c r="BO88" s="152"/>
      <c r="BP88" s="146"/>
      <c r="BQ88" s="112" t="s">
        <v>113</v>
      </c>
      <c r="BR88" s="113"/>
      <c r="BS88" s="105"/>
      <c r="BT88" s="146"/>
      <c r="BU88" s="105"/>
      <c r="BV88" s="105"/>
      <c r="BW88" s="112"/>
      <c r="BX88" s="113"/>
      <c r="BY88" s="105"/>
      <c r="BZ88" s="113"/>
      <c r="CA88" s="113"/>
      <c r="CB88" s="105"/>
      <c r="CC88" s="113"/>
      <c r="CD88" s="152"/>
      <c r="CE88" s="112"/>
      <c r="CF88" s="113"/>
      <c r="CG88" s="105"/>
      <c r="CH88" s="146"/>
      <c r="CI88" s="105"/>
      <c r="CJ88" s="105"/>
      <c r="CK88" s="112"/>
      <c r="CL88" s="113"/>
      <c r="CM88" s="105"/>
      <c r="CN88" s="152"/>
      <c r="CO88" s="152"/>
      <c r="CP88" s="105"/>
      <c r="CQ88" s="113"/>
      <c r="CR88" s="152"/>
      <c r="CS88" s="112"/>
      <c r="CT88" s="113"/>
      <c r="CU88" s="105"/>
      <c r="CV88" s="146"/>
      <c r="CW88" s="105"/>
      <c r="CX88" s="105"/>
      <c r="CY88" s="112"/>
      <c r="CZ88" s="113"/>
      <c r="DA88" s="105"/>
      <c r="DB88" s="113"/>
      <c r="DC88" s="113"/>
      <c r="DD88" s="105"/>
      <c r="DE88" s="113"/>
      <c r="DF88" s="113"/>
      <c r="DG88" s="112"/>
      <c r="DH88" s="113"/>
      <c r="DI88" s="105"/>
      <c r="DJ88" s="146"/>
      <c r="DK88" s="105"/>
      <c r="DL88" s="105"/>
      <c r="DM88" s="112"/>
      <c r="DN88" s="113"/>
      <c r="DO88" s="105"/>
      <c r="DP88" s="113"/>
      <c r="DQ88" s="113"/>
      <c r="DR88" s="105"/>
      <c r="DS88" s="113"/>
      <c r="DT88" s="113"/>
      <c r="DU88" s="112"/>
      <c r="DV88" s="113"/>
      <c r="DW88" s="105"/>
      <c r="DX88" s="146"/>
      <c r="DY88" s="105"/>
      <c r="DZ88" s="105"/>
      <c r="EA88" s="112"/>
      <c r="EB88" s="113"/>
      <c r="EC88" s="105"/>
      <c r="ED88" s="113"/>
      <c r="EE88" s="113"/>
      <c r="EF88" s="105"/>
      <c r="EG88" s="113"/>
      <c r="EH88" s="113"/>
      <c r="EI88" s="112"/>
      <c r="EJ88" s="113"/>
      <c r="EK88" s="105"/>
      <c r="EL88" s="146"/>
      <c r="EM88" s="72" t="s">
        <v>115</v>
      </c>
      <c r="EN88" s="74">
        <v>2250</v>
      </c>
      <c r="EO88" s="73"/>
      <c r="EP88" s="72" t="s">
        <v>77</v>
      </c>
      <c r="EQ88" s="72"/>
      <c r="ER88" s="75"/>
      <c r="ES88" s="76"/>
      <c r="ET88" s="77"/>
      <c r="EU88" s="77"/>
      <c r="EV88" s="78"/>
      <c r="EW88" s="72"/>
      <c r="EX88" s="72"/>
      <c r="EY88" s="72" t="s">
        <v>100</v>
      </c>
      <c r="EZ88" s="72" t="s">
        <v>114</v>
      </c>
      <c r="FA88" s="72"/>
      <c r="FB88" s="78"/>
      <c r="FC88" s="78"/>
      <c r="FD88" s="146"/>
      <c r="FE88" s="78"/>
      <c r="FF88" s="78"/>
      <c r="FG88" s="78"/>
      <c r="FH88" s="78"/>
      <c r="FI88" s="78"/>
      <c r="FJ88" s="78"/>
      <c r="FK88" s="78"/>
      <c r="FL88" s="78"/>
      <c r="FM88" s="78"/>
      <c r="FN88" s="78"/>
      <c r="FO88" s="146"/>
      <c r="FP88" s="78"/>
      <c r="FQ88" s="78"/>
      <c r="FR88" s="78"/>
      <c r="FS88" s="78"/>
      <c r="FT88" s="78"/>
      <c r="FU88" s="78"/>
      <c r="FV88" s="78"/>
      <c r="FW88" s="78"/>
      <c r="FX88" s="78"/>
      <c r="FY88" s="78"/>
    </row>
    <row r="89" spans="1:181" s="71" customFormat="1" ht="16.350000000000001" customHeight="1" x14ac:dyDescent="0.25">
      <c r="A89" s="109"/>
      <c r="B89" s="70"/>
      <c r="C89" s="110"/>
      <c r="D89" s="110"/>
      <c r="E89" s="146"/>
      <c r="F89" s="109" t="str">
        <f>mehrsprachigkeitBegriffsrückgabe(gewählteSpracheZurückgeben(), "Product (foreign language)")</f>
        <v>Produkt (Fremdsprache)</v>
      </c>
      <c r="G89" s="111"/>
      <c r="H89" s="111" t="s">
        <v>231</v>
      </c>
      <c r="I89" s="111" t="s">
        <v>94</v>
      </c>
      <c r="J89" s="111" t="s">
        <v>446</v>
      </c>
      <c r="K89" s="111"/>
      <c r="L89" s="146"/>
      <c r="M89" s="149"/>
      <c r="N89" s="111"/>
      <c r="O89" s="111"/>
      <c r="P89" s="111"/>
      <c r="Q89" s="111"/>
      <c r="R89" s="111"/>
      <c r="S89" s="111"/>
      <c r="T89" s="111"/>
      <c r="U89" s="111"/>
      <c r="V89" s="111"/>
      <c r="W89" s="111"/>
      <c r="X89" s="111"/>
      <c r="Y89" s="111"/>
      <c r="Z89" s="111"/>
      <c r="AA89" s="111"/>
      <c r="AB89" s="111"/>
      <c r="AC89" s="111"/>
      <c r="AD89" s="111"/>
      <c r="AE89" s="111"/>
      <c r="AF89" s="111"/>
      <c r="AG89" s="111"/>
      <c r="AH89" s="111"/>
      <c r="AI89" s="111"/>
      <c r="AJ89" s="111"/>
      <c r="AK89" s="111"/>
      <c r="AL89" s="111"/>
      <c r="AM89" s="111"/>
      <c r="AN89" s="111"/>
      <c r="AO89" s="111"/>
      <c r="AP89" s="111"/>
      <c r="AQ89" s="111"/>
      <c r="AR89" s="111"/>
      <c r="AS89" s="111"/>
      <c r="AT89" s="111"/>
      <c r="AU89" s="111"/>
      <c r="AV89" s="111"/>
      <c r="AW89" s="111"/>
      <c r="AX89" s="111"/>
      <c r="AY89" s="111"/>
      <c r="AZ89" s="111"/>
      <c r="BA89" s="146"/>
      <c r="BB89" s="104" t="s">
        <v>99</v>
      </c>
      <c r="BC89" s="72" t="s">
        <v>95</v>
      </c>
      <c r="BD89" s="72"/>
      <c r="BE89" s="72"/>
      <c r="BF89" s="146"/>
      <c r="BG89" s="112"/>
      <c r="BH89" s="113"/>
      <c r="BI89" s="146"/>
      <c r="BJ89" s="105"/>
      <c r="BK89" s="113"/>
      <c r="BL89" s="113"/>
      <c r="BM89" s="105"/>
      <c r="BN89" s="113"/>
      <c r="BO89" s="113"/>
      <c r="BP89" s="146"/>
      <c r="BQ89" s="112" t="s">
        <v>113</v>
      </c>
      <c r="BR89" s="113"/>
      <c r="BS89" s="105"/>
      <c r="BT89" s="146"/>
      <c r="BU89" s="105"/>
      <c r="BV89" s="105"/>
      <c r="BW89" s="112"/>
      <c r="BX89" s="113"/>
      <c r="BY89" s="105"/>
      <c r="BZ89" s="113"/>
      <c r="CA89" s="113"/>
      <c r="CB89" s="105"/>
      <c r="CC89" s="113"/>
      <c r="CD89" s="113"/>
      <c r="CE89" s="112"/>
      <c r="CF89" s="113"/>
      <c r="CG89" s="105"/>
      <c r="CH89" s="146"/>
      <c r="CI89" s="105"/>
      <c r="CJ89" s="105"/>
      <c r="CK89" s="112"/>
      <c r="CL89" s="113"/>
      <c r="CM89" s="105"/>
      <c r="CN89" s="113"/>
      <c r="CO89" s="113"/>
      <c r="CP89" s="105"/>
      <c r="CQ89" s="113"/>
      <c r="CR89" s="113"/>
      <c r="CS89" s="112"/>
      <c r="CT89" s="113"/>
      <c r="CU89" s="105"/>
      <c r="CV89" s="146"/>
      <c r="CW89" s="105"/>
      <c r="CX89" s="105"/>
      <c r="CY89" s="112"/>
      <c r="CZ89" s="113"/>
      <c r="DA89" s="105"/>
      <c r="DB89" s="113"/>
      <c r="DC89" s="113"/>
      <c r="DD89" s="105"/>
      <c r="DE89" s="113"/>
      <c r="DF89" s="113"/>
      <c r="DG89" s="112"/>
      <c r="DH89" s="113"/>
      <c r="DI89" s="105"/>
      <c r="DJ89" s="146"/>
      <c r="DK89" s="105"/>
      <c r="DL89" s="105"/>
      <c r="DM89" s="112"/>
      <c r="DN89" s="113"/>
      <c r="DO89" s="105"/>
      <c r="DP89" s="113"/>
      <c r="DQ89" s="113"/>
      <c r="DR89" s="105"/>
      <c r="DS89" s="113"/>
      <c r="DT89" s="113"/>
      <c r="DU89" s="112"/>
      <c r="DV89" s="113"/>
      <c r="DW89" s="105"/>
      <c r="DX89" s="146"/>
      <c r="DY89" s="105"/>
      <c r="DZ89" s="105"/>
      <c r="EA89" s="112"/>
      <c r="EB89" s="113"/>
      <c r="EC89" s="105"/>
      <c r="ED89" s="113"/>
      <c r="EE89" s="113"/>
      <c r="EF89" s="105"/>
      <c r="EG89" s="113"/>
      <c r="EH89" s="113"/>
      <c r="EI89" s="112"/>
      <c r="EJ89" s="113"/>
      <c r="EK89" s="105"/>
      <c r="EL89" s="146"/>
      <c r="EM89" s="72"/>
      <c r="EN89" s="74"/>
      <c r="EO89" s="73"/>
      <c r="EP89" s="72" t="s">
        <v>96</v>
      </c>
      <c r="EQ89" s="72"/>
      <c r="ER89" s="75"/>
      <c r="ES89" s="76"/>
      <c r="ET89" s="77"/>
      <c r="EU89" s="77"/>
      <c r="EV89" s="78"/>
      <c r="EW89" s="72"/>
      <c r="EX89" s="72"/>
      <c r="EY89" s="72"/>
      <c r="EZ89" s="72"/>
      <c r="FA89" s="72"/>
      <c r="FB89" s="78"/>
      <c r="FC89" s="78"/>
      <c r="FD89" s="146"/>
      <c r="FE89" s="78"/>
      <c r="FF89" s="78"/>
      <c r="FG89" s="78"/>
      <c r="FO89" s="146"/>
      <c r="FP89" s="78"/>
      <c r="FQ89" s="78"/>
      <c r="FR89" s="78"/>
    </row>
    <row r="90" spans="1:181" s="71" customFormat="1" ht="16.350000000000001" customHeight="1" x14ac:dyDescent="0.25">
      <c r="A90" s="109"/>
      <c r="B90" s="70"/>
      <c r="C90" s="110"/>
      <c r="D90" s="110">
        <v>1</v>
      </c>
      <c r="E90" s="146"/>
      <c r="F90" s="109" t="str">
        <f>mehrsprachigkeitBegriffsrückgabe(gewählteSpracheZurückgeben(), "Product")</f>
        <v>Produkt</v>
      </c>
      <c r="G90" s="111" t="s">
        <v>232</v>
      </c>
      <c r="H90" s="111"/>
      <c r="I90" s="111" t="s">
        <v>86</v>
      </c>
      <c r="J90" s="111" t="s">
        <v>447</v>
      </c>
      <c r="K90" s="111"/>
      <c r="L90" s="146"/>
      <c r="M90" s="149" t="s">
        <v>392</v>
      </c>
      <c r="N90" s="111" t="s">
        <v>396</v>
      </c>
      <c r="O90" s="114"/>
      <c r="P90" s="114"/>
      <c r="Q90" s="111"/>
      <c r="R90" s="111"/>
      <c r="S90" s="111"/>
      <c r="T90" s="111"/>
      <c r="U90" s="111"/>
      <c r="V90" s="111"/>
      <c r="W90" s="111"/>
      <c r="X90" s="111"/>
      <c r="Y90" s="111"/>
      <c r="Z90" s="111"/>
      <c r="AA90" s="111"/>
      <c r="AB90" s="111"/>
      <c r="AC90" s="111"/>
      <c r="AD90" s="111"/>
      <c r="AE90" s="111"/>
      <c r="AF90" s="111"/>
      <c r="AG90" s="111"/>
      <c r="AH90" s="111"/>
      <c r="AI90" s="111"/>
      <c r="AJ90" s="111"/>
      <c r="AK90" s="111"/>
      <c r="AL90" s="111"/>
      <c r="AM90" s="111"/>
      <c r="AN90" s="111"/>
      <c r="AO90" s="111"/>
      <c r="AP90" s="111"/>
      <c r="AQ90" s="111"/>
      <c r="AR90" s="111"/>
      <c r="AS90" s="111"/>
      <c r="AT90" s="111"/>
      <c r="AU90" s="111"/>
      <c r="AV90" s="111"/>
      <c r="AW90" s="111"/>
      <c r="AX90" s="111"/>
      <c r="AY90" s="111"/>
      <c r="AZ90" s="111"/>
      <c r="BA90" s="146"/>
      <c r="BB90" s="104" t="s">
        <v>98</v>
      </c>
      <c r="BC90" s="72" t="s">
        <v>93</v>
      </c>
      <c r="BD90" s="72" t="s">
        <v>509</v>
      </c>
      <c r="BE90" s="72" t="s">
        <v>412</v>
      </c>
      <c r="BF90" s="146"/>
      <c r="BG90" s="112"/>
      <c r="BH90" s="113"/>
      <c r="BI90" s="146"/>
      <c r="BJ90" s="105"/>
      <c r="BK90" s="113"/>
      <c r="BL90" s="113"/>
      <c r="BM90" s="105"/>
      <c r="BN90" s="113"/>
      <c r="BO90" s="152"/>
      <c r="BP90" s="146"/>
      <c r="BQ90" s="112" t="s">
        <v>113</v>
      </c>
      <c r="BR90" s="113"/>
      <c r="BS90" s="105"/>
      <c r="BT90" s="146"/>
      <c r="BU90" s="105"/>
      <c r="BV90" s="105"/>
      <c r="BW90" s="112"/>
      <c r="BX90" s="113"/>
      <c r="BY90" s="105"/>
      <c r="BZ90" s="113"/>
      <c r="CA90" s="113"/>
      <c r="CB90" s="105"/>
      <c r="CC90" s="113"/>
      <c r="CD90" s="152"/>
      <c r="CE90" s="112"/>
      <c r="CF90" s="113"/>
      <c r="CG90" s="105"/>
      <c r="CH90" s="146"/>
      <c r="CI90" s="105"/>
      <c r="CJ90" s="105"/>
      <c r="CK90" s="112"/>
      <c r="CL90" s="113"/>
      <c r="CM90" s="105"/>
      <c r="CN90" s="152"/>
      <c r="CO90" s="152"/>
      <c r="CP90" s="105"/>
      <c r="CQ90" s="113"/>
      <c r="CR90" s="152"/>
      <c r="CS90" s="112"/>
      <c r="CT90" s="113"/>
      <c r="CU90" s="105"/>
      <c r="CV90" s="146"/>
      <c r="CW90" s="105"/>
      <c r="CX90" s="105"/>
      <c r="CY90" s="112"/>
      <c r="CZ90" s="113"/>
      <c r="DA90" s="105"/>
      <c r="DB90" s="113"/>
      <c r="DC90" s="113"/>
      <c r="DD90" s="105"/>
      <c r="DE90" s="113"/>
      <c r="DF90" s="113"/>
      <c r="DG90" s="112"/>
      <c r="DH90" s="113"/>
      <c r="DI90" s="105"/>
      <c r="DJ90" s="146"/>
      <c r="DK90" s="105"/>
      <c r="DL90" s="105"/>
      <c r="DM90" s="112"/>
      <c r="DN90" s="113"/>
      <c r="DO90" s="105"/>
      <c r="DP90" s="113"/>
      <c r="DQ90" s="113"/>
      <c r="DR90" s="105"/>
      <c r="DS90" s="113"/>
      <c r="DT90" s="113"/>
      <c r="DU90" s="112"/>
      <c r="DV90" s="113"/>
      <c r="DW90" s="105"/>
      <c r="DX90" s="146"/>
      <c r="DY90" s="105"/>
      <c r="DZ90" s="105"/>
      <c r="EA90" s="112"/>
      <c r="EB90" s="113"/>
      <c r="EC90" s="105"/>
      <c r="ED90" s="113"/>
      <c r="EE90" s="113"/>
      <c r="EF90" s="105"/>
      <c r="EG90" s="113"/>
      <c r="EH90" s="113"/>
      <c r="EI90" s="112"/>
      <c r="EJ90" s="113"/>
      <c r="EK90" s="105"/>
      <c r="EL90" s="146"/>
      <c r="EM90" s="72" t="s">
        <v>115</v>
      </c>
      <c r="EN90" s="74">
        <v>2250</v>
      </c>
      <c r="EO90" s="73"/>
      <c r="EP90" s="72" t="s">
        <v>77</v>
      </c>
      <c r="EQ90" s="72"/>
      <c r="ER90" s="75"/>
      <c r="ES90" s="76"/>
      <c r="ET90" s="77">
        <v>1</v>
      </c>
      <c r="EU90" s="77"/>
      <c r="EV90" s="78"/>
      <c r="EW90" s="72"/>
      <c r="EX90" s="72"/>
      <c r="EY90" s="72" t="s">
        <v>100</v>
      </c>
      <c r="EZ90" s="72" t="s">
        <v>114</v>
      </c>
      <c r="FA90" s="72"/>
      <c r="FB90" s="78"/>
      <c r="FC90" s="78"/>
      <c r="FD90" s="146"/>
      <c r="FE90" s="78"/>
      <c r="FF90" s="78"/>
      <c r="FG90" s="78"/>
      <c r="FH90" s="78"/>
      <c r="FI90" s="78"/>
      <c r="FJ90" s="78"/>
      <c r="FK90" s="78"/>
      <c r="FL90" s="78"/>
      <c r="FM90" s="78"/>
      <c r="FN90" s="78"/>
      <c r="FO90" s="146"/>
      <c r="FP90" s="78"/>
      <c r="FQ90" s="78"/>
      <c r="FR90" s="78"/>
      <c r="FS90" s="78"/>
      <c r="FT90" s="78"/>
      <c r="FU90" s="78"/>
      <c r="FV90" s="78"/>
      <c r="FW90" s="78"/>
      <c r="FX90" s="78"/>
      <c r="FY90" s="78"/>
    </row>
    <row r="91" spans="1:181" s="71" customFormat="1" ht="16.350000000000001" customHeight="1" x14ac:dyDescent="0.25">
      <c r="A91" s="109"/>
      <c r="B91" s="70"/>
      <c r="C91" s="110"/>
      <c r="D91" s="110"/>
      <c r="E91" s="146"/>
      <c r="F91" s="109" t="str">
        <f>mehrsprachigkeitBegriffsrückgabe(gewählteSpracheZurückgeben(), "Product (foreign language)")</f>
        <v>Produkt (Fremdsprache)</v>
      </c>
      <c r="G91" s="111"/>
      <c r="H91" s="111" t="s">
        <v>232</v>
      </c>
      <c r="I91" s="111" t="s">
        <v>94</v>
      </c>
      <c r="J91" s="111" t="s">
        <v>448</v>
      </c>
      <c r="K91" s="111"/>
      <c r="L91" s="146"/>
      <c r="M91" s="149"/>
      <c r="N91" s="111"/>
      <c r="O91" s="111"/>
      <c r="P91" s="111"/>
      <c r="Q91" s="111"/>
      <c r="R91" s="111"/>
      <c r="S91" s="111"/>
      <c r="T91" s="111"/>
      <c r="U91" s="111"/>
      <c r="V91" s="111"/>
      <c r="W91" s="111"/>
      <c r="X91" s="111"/>
      <c r="Y91" s="111"/>
      <c r="Z91" s="111"/>
      <c r="AA91" s="111"/>
      <c r="AB91" s="111"/>
      <c r="AC91" s="111"/>
      <c r="AD91" s="111"/>
      <c r="AE91" s="111"/>
      <c r="AF91" s="111"/>
      <c r="AG91" s="111"/>
      <c r="AH91" s="111"/>
      <c r="AI91" s="111"/>
      <c r="AJ91" s="111"/>
      <c r="AK91" s="111"/>
      <c r="AL91" s="111"/>
      <c r="AM91" s="111"/>
      <c r="AN91" s="111"/>
      <c r="AO91" s="111"/>
      <c r="AP91" s="111"/>
      <c r="AQ91" s="111"/>
      <c r="AR91" s="111"/>
      <c r="AS91" s="111"/>
      <c r="AT91" s="111"/>
      <c r="AU91" s="111"/>
      <c r="AV91" s="111"/>
      <c r="AW91" s="111"/>
      <c r="AX91" s="111"/>
      <c r="AY91" s="111"/>
      <c r="AZ91" s="111"/>
      <c r="BA91" s="146"/>
      <c r="BB91" s="104" t="s">
        <v>99</v>
      </c>
      <c r="BC91" s="72" t="s">
        <v>95</v>
      </c>
      <c r="BD91" s="72"/>
      <c r="BE91" s="72"/>
      <c r="BF91" s="146"/>
      <c r="BG91" s="112"/>
      <c r="BH91" s="113"/>
      <c r="BI91" s="146"/>
      <c r="BJ91" s="105"/>
      <c r="BK91" s="113"/>
      <c r="BL91" s="113"/>
      <c r="BM91" s="105"/>
      <c r="BN91" s="113"/>
      <c r="BO91" s="113"/>
      <c r="BP91" s="146"/>
      <c r="BQ91" s="112" t="s">
        <v>113</v>
      </c>
      <c r="BR91" s="113"/>
      <c r="BS91" s="105"/>
      <c r="BT91" s="146"/>
      <c r="BU91" s="105"/>
      <c r="BV91" s="105"/>
      <c r="BW91" s="112"/>
      <c r="BX91" s="113"/>
      <c r="BY91" s="105"/>
      <c r="BZ91" s="113"/>
      <c r="CA91" s="113"/>
      <c r="CB91" s="105"/>
      <c r="CC91" s="113"/>
      <c r="CD91" s="113"/>
      <c r="CE91" s="112"/>
      <c r="CF91" s="113"/>
      <c r="CG91" s="105"/>
      <c r="CH91" s="146"/>
      <c r="CI91" s="105"/>
      <c r="CJ91" s="105"/>
      <c r="CK91" s="112"/>
      <c r="CL91" s="113"/>
      <c r="CM91" s="105"/>
      <c r="CN91" s="113"/>
      <c r="CO91" s="113"/>
      <c r="CP91" s="105"/>
      <c r="CQ91" s="113"/>
      <c r="CR91" s="113"/>
      <c r="CS91" s="112"/>
      <c r="CT91" s="113"/>
      <c r="CU91" s="105"/>
      <c r="CV91" s="146"/>
      <c r="CW91" s="105"/>
      <c r="CX91" s="105"/>
      <c r="CY91" s="112"/>
      <c r="CZ91" s="113"/>
      <c r="DA91" s="105"/>
      <c r="DB91" s="113"/>
      <c r="DC91" s="113"/>
      <c r="DD91" s="105"/>
      <c r="DE91" s="113"/>
      <c r="DF91" s="113"/>
      <c r="DG91" s="112"/>
      <c r="DH91" s="113"/>
      <c r="DI91" s="105"/>
      <c r="DJ91" s="146"/>
      <c r="DK91" s="105"/>
      <c r="DL91" s="105"/>
      <c r="DM91" s="112"/>
      <c r="DN91" s="113"/>
      <c r="DO91" s="105"/>
      <c r="DP91" s="113"/>
      <c r="DQ91" s="113"/>
      <c r="DR91" s="105"/>
      <c r="DS91" s="113"/>
      <c r="DT91" s="113"/>
      <c r="DU91" s="112"/>
      <c r="DV91" s="113"/>
      <c r="DW91" s="105"/>
      <c r="DX91" s="146"/>
      <c r="DY91" s="105"/>
      <c r="DZ91" s="105"/>
      <c r="EA91" s="112"/>
      <c r="EB91" s="113"/>
      <c r="EC91" s="105"/>
      <c r="ED91" s="113"/>
      <c r="EE91" s="113"/>
      <c r="EF91" s="105"/>
      <c r="EG91" s="113"/>
      <c r="EH91" s="113"/>
      <c r="EI91" s="112"/>
      <c r="EJ91" s="113"/>
      <c r="EK91" s="105"/>
      <c r="EL91" s="146"/>
      <c r="EM91" s="72"/>
      <c r="EN91" s="74"/>
      <c r="EO91" s="73"/>
      <c r="EP91" s="72" t="s">
        <v>96</v>
      </c>
      <c r="EQ91" s="72"/>
      <c r="ER91" s="75"/>
      <c r="ES91" s="76"/>
      <c r="ET91" s="77"/>
      <c r="EU91" s="77"/>
      <c r="EV91" s="78"/>
      <c r="EW91" s="72"/>
      <c r="EX91" s="72"/>
      <c r="EY91" s="72"/>
      <c r="EZ91" s="72"/>
      <c r="FA91" s="72"/>
      <c r="FB91" s="78"/>
      <c r="FC91" s="78"/>
      <c r="FD91" s="146"/>
      <c r="FE91" s="78"/>
      <c r="FF91" s="78"/>
      <c r="FG91" s="78"/>
      <c r="FO91" s="146"/>
      <c r="FP91" s="78"/>
      <c r="FQ91" s="78"/>
      <c r="FR91" s="78"/>
    </row>
    <row r="92" spans="1:181" s="71" customFormat="1" ht="16.350000000000001" customHeight="1" x14ac:dyDescent="0.25">
      <c r="A92" s="109"/>
      <c r="B92" s="70"/>
      <c r="C92" s="110"/>
      <c r="D92" s="110">
        <v>1</v>
      </c>
      <c r="E92" s="146"/>
      <c r="F92" s="109" t="str">
        <f>mehrsprachigkeitBegriffsrückgabe(gewählteSpracheZurückgeben(), "Product")</f>
        <v>Produkt</v>
      </c>
      <c r="G92" s="111" t="s">
        <v>233</v>
      </c>
      <c r="H92" s="111"/>
      <c r="I92" s="111" t="s">
        <v>86</v>
      </c>
      <c r="J92" s="111" t="s">
        <v>449</v>
      </c>
      <c r="K92" s="111"/>
      <c r="L92" s="146"/>
      <c r="M92" s="149" t="s">
        <v>392</v>
      </c>
      <c r="N92" s="111" t="s">
        <v>393</v>
      </c>
      <c r="O92" s="114"/>
      <c r="P92" s="114"/>
      <c r="Q92" s="111"/>
      <c r="R92" s="111"/>
      <c r="S92" s="111"/>
      <c r="T92" s="111"/>
      <c r="U92" s="111"/>
      <c r="V92" s="111"/>
      <c r="W92" s="111"/>
      <c r="X92" s="111"/>
      <c r="Y92" s="111"/>
      <c r="Z92" s="111"/>
      <c r="AA92" s="111"/>
      <c r="AB92" s="111"/>
      <c r="AC92" s="111"/>
      <c r="AD92" s="111"/>
      <c r="AE92" s="111"/>
      <c r="AF92" s="111"/>
      <c r="AG92" s="111"/>
      <c r="AH92" s="111"/>
      <c r="AI92" s="111"/>
      <c r="AJ92" s="111"/>
      <c r="AK92" s="111"/>
      <c r="AL92" s="111"/>
      <c r="AM92" s="111"/>
      <c r="AN92" s="111"/>
      <c r="AO92" s="111"/>
      <c r="AP92" s="111"/>
      <c r="AQ92" s="111"/>
      <c r="AR92" s="111"/>
      <c r="AS92" s="111"/>
      <c r="AT92" s="111"/>
      <c r="AU92" s="111"/>
      <c r="AV92" s="111"/>
      <c r="AW92" s="111"/>
      <c r="AX92" s="111"/>
      <c r="AY92" s="111"/>
      <c r="AZ92" s="111"/>
      <c r="BA92" s="146"/>
      <c r="BB92" s="104" t="s">
        <v>98</v>
      </c>
      <c r="BC92" s="72" t="s">
        <v>93</v>
      </c>
      <c r="BD92" s="72" t="s">
        <v>509</v>
      </c>
      <c r="BE92" s="72" t="s">
        <v>414</v>
      </c>
      <c r="BF92" s="146"/>
      <c r="BG92" s="112"/>
      <c r="BH92" s="113"/>
      <c r="BI92" s="146"/>
      <c r="BJ92" s="105"/>
      <c r="BK92" s="113"/>
      <c r="BL92" s="113"/>
      <c r="BM92" s="105"/>
      <c r="BN92" s="113"/>
      <c r="BO92" s="152"/>
      <c r="BP92" s="146"/>
      <c r="BQ92" s="112" t="s">
        <v>113</v>
      </c>
      <c r="BR92" s="113"/>
      <c r="BS92" s="105"/>
      <c r="BT92" s="146"/>
      <c r="BU92" s="105"/>
      <c r="BV92" s="105"/>
      <c r="BW92" s="112"/>
      <c r="BX92" s="113"/>
      <c r="BY92" s="105"/>
      <c r="BZ92" s="113"/>
      <c r="CA92" s="113"/>
      <c r="CB92" s="105"/>
      <c r="CC92" s="113"/>
      <c r="CD92" s="152"/>
      <c r="CE92" s="112"/>
      <c r="CF92" s="113"/>
      <c r="CG92" s="105"/>
      <c r="CH92" s="146"/>
      <c r="CI92" s="105"/>
      <c r="CJ92" s="105"/>
      <c r="CK92" s="112"/>
      <c r="CL92" s="113"/>
      <c r="CM92" s="105"/>
      <c r="CN92" s="152"/>
      <c r="CO92" s="152"/>
      <c r="CP92" s="105"/>
      <c r="CQ92" s="113"/>
      <c r="CR92" s="152"/>
      <c r="CS92" s="112"/>
      <c r="CT92" s="113"/>
      <c r="CU92" s="105"/>
      <c r="CV92" s="146"/>
      <c r="CW92" s="105"/>
      <c r="CX92" s="105"/>
      <c r="CY92" s="112"/>
      <c r="CZ92" s="113"/>
      <c r="DA92" s="105"/>
      <c r="DB92" s="113"/>
      <c r="DC92" s="113"/>
      <c r="DD92" s="105"/>
      <c r="DE92" s="113"/>
      <c r="DF92" s="113"/>
      <c r="DG92" s="112"/>
      <c r="DH92" s="113"/>
      <c r="DI92" s="105"/>
      <c r="DJ92" s="146"/>
      <c r="DK92" s="105"/>
      <c r="DL92" s="105"/>
      <c r="DM92" s="112"/>
      <c r="DN92" s="113"/>
      <c r="DO92" s="105"/>
      <c r="DP92" s="113"/>
      <c r="DQ92" s="113"/>
      <c r="DR92" s="105"/>
      <c r="DS92" s="113"/>
      <c r="DT92" s="113"/>
      <c r="DU92" s="112"/>
      <c r="DV92" s="113"/>
      <c r="DW92" s="105"/>
      <c r="DX92" s="146"/>
      <c r="DY92" s="105"/>
      <c r="DZ92" s="105"/>
      <c r="EA92" s="112"/>
      <c r="EB92" s="113"/>
      <c r="EC92" s="105"/>
      <c r="ED92" s="113"/>
      <c r="EE92" s="113"/>
      <c r="EF92" s="105"/>
      <c r="EG92" s="113"/>
      <c r="EH92" s="113"/>
      <c r="EI92" s="112"/>
      <c r="EJ92" s="113"/>
      <c r="EK92" s="105"/>
      <c r="EL92" s="146"/>
      <c r="EM92" s="72" t="s">
        <v>115</v>
      </c>
      <c r="EN92" s="74">
        <v>2250</v>
      </c>
      <c r="EO92" s="73"/>
      <c r="EP92" s="72" t="s">
        <v>77</v>
      </c>
      <c r="EQ92" s="72"/>
      <c r="ER92" s="75"/>
      <c r="ES92" s="76"/>
      <c r="ET92" s="77">
        <v>1</v>
      </c>
      <c r="EU92" s="77"/>
      <c r="EV92" s="78"/>
      <c r="EW92" s="72"/>
      <c r="EX92" s="72"/>
      <c r="EY92" s="72" t="s">
        <v>100</v>
      </c>
      <c r="EZ92" s="72" t="s">
        <v>114</v>
      </c>
      <c r="FA92" s="72"/>
      <c r="FB92" s="78"/>
      <c r="FC92" s="78"/>
      <c r="FD92" s="146"/>
      <c r="FE92" s="78"/>
      <c r="FF92" s="78"/>
      <c r="FG92" s="78"/>
      <c r="FH92" s="78"/>
      <c r="FI92" s="78"/>
      <c r="FJ92" s="78"/>
      <c r="FK92" s="78"/>
      <c r="FL92" s="78"/>
      <c r="FM92" s="78"/>
      <c r="FN92" s="78"/>
      <c r="FO92" s="146"/>
      <c r="FP92" s="78"/>
      <c r="FQ92" s="78"/>
      <c r="FR92" s="78"/>
      <c r="FS92" s="78"/>
      <c r="FT92" s="78"/>
      <c r="FU92" s="78"/>
      <c r="FV92" s="78"/>
      <c r="FW92" s="78"/>
      <c r="FX92" s="78"/>
      <c r="FY92" s="78"/>
    </row>
    <row r="93" spans="1:181" s="71" customFormat="1" ht="16.350000000000001" customHeight="1" x14ac:dyDescent="0.25">
      <c r="A93" s="109"/>
      <c r="B93" s="70"/>
      <c r="C93" s="110"/>
      <c r="D93" s="110"/>
      <c r="E93" s="146"/>
      <c r="F93" s="109" t="str">
        <f>mehrsprachigkeitBegriffsrückgabe(gewählteSpracheZurückgeben(), "Product (foreign language)")</f>
        <v>Produkt (Fremdsprache)</v>
      </c>
      <c r="G93" s="111"/>
      <c r="H93" s="111" t="s">
        <v>233</v>
      </c>
      <c r="I93" s="111" t="s">
        <v>94</v>
      </c>
      <c r="J93" s="111" t="s">
        <v>450</v>
      </c>
      <c r="K93" s="111"/>
      <c r="L93" s="146"/>
      <c r="M93" s="149"/>
      <c r="N93" s="111"/>
      <c r="O93" s="111"/>
      <c r="P93" s="111"/>
      <c r="Q93" s="111"/>
      <c r="R93" s="111"/>
      <c r="S93" s="111"/>
      <c r="T93" s="111"/>
      <c r="U93" s="111"/>
      <c r="V93" s="111"/>
      <c r="W93" s="111"/>
      <c r="X93" s="111"/>
      <c r="Y93" s="111"/>
      <c r="Z93" s="111"/>
      <c r="AA93" s="111"/>
      <c r="AB93" s="111"/>
      <c r="AC93" s="111"/>
      <c r="AD93" s="111"/>
      <c r="AE93" s="111"/>
      <c r="AF93" s="111"/>
      <c r="AG93" s="111"/>
      <c r="AH93" s="111"/>
      <c r="AI93" s="111"/>
      <c r="AJ93" s="111"/>
      <c r="AK93" s="111"/>
      <c r="AL93" s="111"/>
      <c r="AM93" s="111"/>
      <c r="AN93" s="111"/>
      <c r="AO93" s="111"/>
      <c r="AP93" s="111"/>
      <c r="AQ93" s="111"/>
      <c r="AR93" s="111"/>
      <c r="AS93" s="111"/>
      <c r="AT93" s="111"/>
      <c r="AU93" s="111"/>
      <c r="AV93" s="111"/>
      <c r="AW93" s="111"/>
      <c r="AX93" s="111"/>
      <c r="AY93" s="111"/>
      <c r="AZ93" s="111"/>
      <c r="BA93" s="146"/>
      <c r="BB93" s="104" t="s">
        <v>99</v>
      </c>
      <c r="BC93" s="72" t="s">
        <v>95</v>
      </c>
      <c r="BD93" s="72"/>
      <c r="BE93" s="72"/>
      <c r="BF93" s="146"/>
      <c r="BG93" s="112"/>
      <c r="BH93" s="113"/>
      <c r="BI93" s="146"/>
      <c r="BJ93" s="105"/>
      <c r="BK93" s="113"/>
      <c r="BL93" s="113"/>
      <c r="BM93" s="105"/>
      <c r="BN93" s="113"/>
      <c r="BO93" s="113"/>
      <c r="BP93" s="146"/>
      <c r="BQ93" s="112" t="s">
        <v>113</v>
      </c>
      <c r="BR93" s="113"/>
      <c r="BS93" s="105"/>
      <c r="BT93" s="146"/>
      <c r="BU93" s="105"/>
      <c r="BV93" s="105"/>
      <c r="BW93" s="112"/>
      <c r="BX93" s="113"/>
      <c r="BY93" s="105"/>
      <c r="BZ93" s="113"/>
      <c r="CA93" s="113"/>
      <c r="CB93" s="105"/>
      <c r="CC93" s="113"/>
      <c r="CD93" s="113"/>
      <c r="CE93" s="112"/>
      <c r="CF93" s="113"/>
      <c r="CG93" s="105"/>
      <c r="CH93" s="146"/>
      <c r="CI93" s="105"/>
      <c r="CJ93" s="105"/>
      <c r="CK93" s="112"/>
      <c r="CL93" s="113"/>
      <c r="CM93" s="105"/>
      <c r="CN93" s="113"/>
      <c r="CO93" s="113"/>
      <c r="CP93" s="105"/>
      <c r="CQ93" s="113"/>
      <c r="CR93" s="113"/>
      <c r="CS93" s="112"/>
      <c r="CT93" s="113"/>
      <c r="CU93" s="105"/>
      <c r="CV93" s="146"/>
      <c r="CW93" s="105"/>
      <c r="CX93" s="105"/>
      <c r="CY93" s="112"/>
      <c r="CZ93" s="113"/>
      <c r="DA93" s="105"/>
      <c r="DB93" s="113"/>
      <c r="DC93" s="113"/>
      <c r="DD93" s="105"/>
      <c r="DE93" s="113"/>
      <c r="DF93" s="113"/>
      <c r="DG93" s="112"/>
      <c r="DH93" s="113"/>
      <c r="DI93" s="105"/>
      <c r="DJ93" s="146"/>
      <c r="DK93" s="105"/>
      <c r="DL93" s="105"/>
      <c r="DM93" s="112"/>
      <c r="DN93" s="113"/>
      <c r="DO93" s="105"/>
      <c r="DP93" s="113"/>
      <c r="DQ93" s="113"/>
      <c r="DR93" s="105"/>
      <c r="DS93" s="113"/>
      <c r="DT93" s="113"/>
      <c r="DU93" s="112"/>
      <c r="DV93" s="113"/>
      <c r="DW93" s="105"/>
      <c r="DX93" s="146"/>
      <c r="DY93" s="105"/>
      <c r="DZ93" s="105"/>
      <c r="EA93" s="112"/>
      <c r="EB93" s="113"/>
      <c r="EC93" s="105"/>
      <c r="ED93" s="113"/>
      <c r="EE93" s="113"/>
      <c r="EF93" s="105"/>
      <c r="EG93" s="113"/>
      <c r="EH93" s="113"/>
      <c r="EI93" s="112"/>
      <c r="EJ93" s="113"/>
      <c r="EK93" s="105"/>
      <c r="EL93" s="146"/>
      <c r="EM93" s="72"/>
      <c r="EN93" s="74"/>
      <c r="EO93" s="73"/>
      <c r="EP93" s="72" t="s">
        <v>96</v>
      </c>
      <c r="EQ93" s="72"/>
      <c r="ER93" s="75"/>
      <c r="ES93" s="76"/>
      <c r="ET93" s="77"/>
      <c r="EU93" s="77"/>
      <c r="EV93" s="78"/>
      <c r="EW93" s="72"/>
      <c r="EX93" s="72"/>
      <c r="EY93" s="72"/>
      <c r="EZ93" s="72"/>
      <c r="FA93" s="72"/>
      <c r="FB93" s="78"/>
      <c r="FC93" s="78"/>
      <c r="FD93" s="146"/>
      <c r="FE93" s="78"/>
      <c r="FF93" s="78"/>
      <c r="FG93" s="78"/>
      <c r="FO93" s="146"/>
      <c r="FP93" s="78"/>
      <c r="FQ93" s="78"/>
      <c r="FR93" s="78"/>
    </row>
    <row r="94" spans="1:181" s="71" customFormat="1" ht="16.350000000000001" customHeight="1" x14ac:dyDescent="0.25">
      <c r="A94" s="109"/>
      <c r="B94" s="70"/>
      <c r="C94" s="110"/>
      <c r="D94" s="110">
        <v>1</v>
      </c>
      <c r="E94" s="146"/>
      <c r="F94" s="109" t="str">
        <f>mehrsprachigkeitBegriffsrückgabe(gewählteSpracheZurückgeben(), "Product")</f>
        <v>Produkt</v>
      </c>
      <c r="G94" s="111" t="s">
        <v>234</v>
      </c>
      <c r="H94" s="111"/>
      <c r="I94" s="111" t="s">
        <v>86</v>
      </c>
      <c r="J94" s="111" t="s">
        <v>451</v>
      </c>
      <c r="K94" s="111"/>
      <c r="L94" s="146"/>
      <c r="M94" s="149" t="s">
        <v>392</v>
      </c>
      <c r="N94" s="111" t="s">
        <v>396</v>
      </c>
      <c r="O94" s="114"/>
      <c r="P94" s="114"/>
      <c r="Q94" s="111"/>
      <c r="R94" s="111"/>
      <c r="S94" s="111"/>
      <c r="T94" s="111"/>
      <c r="U94" s="111"/>
      <c r="V94" s="111"/>
      <c r="W94" s="111"/>
      <c r="X94" s="111"/>
      <c r="Y94" s="111"/>
      <c r="Z94" s="111"/>
      <c r="AA94" s="111"/>
      <c r="AB94" s="111"/>
      <c r="AC94" s="111"/>
      <c r="AD94" s="111"/>
      <c r="AE94" s="111"/>
      <c r="AF94" s="111"/>
      <c r="AG94" s="111"/>
      <c r="AH94" s="111"/>
      <c r="AI94" s="111"/>
      <c r="AJ94" s="111"/>
      <c r="AK94" s="111"/>
      <c r="AL94" s="111"/>
      <c r="AM94" s="111"/>
      <c r="AN94" s="111"/>
      <c r="AO94" s="111"/>
      <c r="AP94" s="111"/>
      <c r="AQ94" s="111"/>
      <c r="AR94" s="111"/>
      <c r="AS94" s="111"/>
      <c r="AT94" s="111"/>
      <c r="AU94" s="111"/>
      <c r="AV94" s="111"/>
      <c r="AW94" s="111"/>
      <c r="AX94" s="111"/>
      <c r="AY94" s="111"/>
      <c r="AZ94" s="111"/>
      <c r="BA94" s="146"/>
      <c r="BB94" s="104" t="s">
        <v>98</v>
      </c>
      <c r="BC94" s="72" t="s">
        <v>93</v>
      </c>
      <c r="BD94" s="72" t="s">
        <v>509</v>
      </c>
      <c r="BE94" s="72" t="s">
        <v>413</v>
      </c>
      <c r="BF94" s="146"/>
      <c r="BG94" s="112"/>
      <c r="BH94" s="113"/>
      <c r="BI94" s="146"/>
      <c r="BJ94" s="105"/>
      <c r="BK94" s="113"/>
      <c r="BL94" s="113"/>
      <c r="BM94" s="105"/>
      <c r="BN94" s="113"/>
      <c r="BO94" s="152"/>
      <c r="BP94" s="146"/>
      <c r="BQ94" s="112" t="s">
        <v>113</v>
      </c>
      <c r="BR94" s="113"/>
      <c r="BS94" s="105"/>
      <c r="BT94" s="146"/>
      <c r="BU94" s="105"/>
      <c r="BV94" s="105"/>
      <c r="BW94" s="112"/>
      <c r="BX94" s="113"/>
      <c r="BY94" s="105"/>
      <c r="BZ94" s="113"/>
      <c r="CA94" s="113"/>
      <c r="CB94" s="105"/>
      <c r="CC94" s="113"/>
      <c r="CD94" s="152"/>
      <c r="CE94" s="112"/>
      <c r="CF94" s="113"/>
      <c r="CG94" s="105"/>
      <c r="CH94" s="146"/>
      <c r="CI94" s="105"/>
      <c r="CJ94" s="105"/>
      <c r="CK94" s="112"/>
      <c r="CL94" s="113"/>
      <c r="CM94" s="105"/>
      <c r="CN94" s="152"/>
      <c r="CO94" s="152"/>
      <c r="CP94" s="105"/>
      <c r="CQ94" s="113"/>
      <c r="CR94" s="152"/>
      <c r="CS94" s="112"/>
      <c r="CT94" s="113"/>
      <c r="CU94" s="105"/>
      <c r="CV94" s="146"/>
      <c r="CW94" s="105"/>
      <c r="CX94" s="105"/>
      <c r="CY94" s="112"/>
      <c r="CZ94" s="113"/>
      <c r="DA94" s="105"/>
      <c r="DB94" s="113"/>
      <c r="DC94" s="113"/>
      <c r="DD94" s="105"/>
      <c r="DE94" s="113"/>
      <c r="DF94" s="113"/>
      <c r="DG94" s="112"/>
      <c r="DH94" s="113"/>
      <c r="DI94" s="105"/>
      <c r="DJ94" s="146"/>
      <c r="DK94" s="105"/>
      <c r="DL94" s="105"/>
      <c r="DM94" s="112"/>
      <c r="DN94" s="113"/>
      <c r="DO94" s="105"/>
      <c r="DP94" s="113"/>
      <c r="DQ94" s="113"/>
      <c r="DR94" s="105"/>
      <c r="DS94" s="113"/>
      <c r="DT94" s="113"/>
      <c r="DU94" s="112"/>
      <c r="DV94" s="113"/>
      <c r="DW94" s="105"/>
      <c r="DX94" s="146"/>
      <c r="DY94" s="105"/>
      <c r="DZ94" s="105"/>
      <c r="EA94" s="112"/>
      <c r="EB94" s="113"/>
      <c r="EC94" s="105"/>
      <c r="ED94" s="113"/>
      <c r="EE94" s="113"/>
      <c r="EF94" s="105"/>
      <c r="EG94" s="113"/>
      <c r="EH94" s="113"/>
      <c r="EI94" s="112"/>
      <c r="EJ94" s="113"/>
      <c r="EK94" s="105"/>
      <c r="EL94" s="146"/>
      <c r="EM94" s="72" t="s">
        <v>115</v>
      </c>
      <c r="EN94" s="74">
        <v>2250</v>
      </c>
      <c r="EO94" s="73"/>
      <c r="EP94" s="72" t="s">
        <v>77</v>
      </c>
      <c r="EQ94" s="72"/>
      <c r="ER94" s="75"/>
      <c r="ES94" s="76"/>
      <c r="ET94" s="77"/>
      <c r="EU94" s="77"/>
      <c r="EV94" s="78"/>
      <c r="EW94" s="72"/>
      <c r="EX94" s="72"/>
      <c r="EY94" s="72" t="s">
        <v>100</v>
      </c>
      <c r="EZ94" s="72" t="s">
        <v>114</v>
      </c>
      <c r="FA94" s="72"/>
      <c r="FB94" s="78"/>
      <c r="FC94" s="78"/>
      <c r="FD94" s="146"/>
      <c r="FE94" s="78"/>
      <c r="FF94" s="78"/>
      <c r="FG94" s="78"/>
      <c r="FH94" s="78"/>
      <c r="FI94" s="78"/>
      <c r="FJ94" s="78"/>
      <c r="FK94" s="78"/>
      <c r="FL94" s="78"/>
      <c r="FM94" s="78"/>
      <c r="FN94" s="78"/>
      <c r="FO94" s="146"/>
      <c r="FP94" s="78"/>
      <c r="FQ94" s="78"/>
      <c r="FR94" s="78"/>
      <c r="FS94" s="78"/>
      <c r="FT94" s="78"/>
      <c r="FU94" s="78"/>
      <c r="FV94" s="78"/>
      <c r="FW94" s="78"/>
      <c r="FX94" s="78"/>
      <c r="FY94" s="78"/>
    </row>
    <row r="95" spans="1:181" s="71" customFormat="1" ht="16.350000000000001" customHeight="1" x14ac:dyDescent="0.25">
      <c r="A95" s="109"/>
      <c r="B95" s="70"/>
      <c r="C95" s="110"/>
      <c r="D95" s="110"/>
      <c r="E95" s="146"/>
      <c r="F95" s="109" t="str">
        <f>mehrsprachigkeitBegriffsrückgabe(gewählteSpracheZurückgeben(), "Product (foreign language)")</f>
        <v>Produkt (Fremdsprache)</v>
      </c>
      <c r="G95" s="111"/>
      <c r="H95" s="111" t="s">
        <v>234</v>
      </c>
      <c r="I95" s="111" t="s">
        <v>94</v>
      </c>
      <c r="J95" s="111" t="s">
        <v>452</v>
      </c>
      <c r="K95" s="111"/>
      <c r="L95" s="146"/>
      <c r="M95" s="149"/>
      <c r="N95" s="111"/>
      <c r="O95" s="111"/>
      <c r="P95" s="111"/>
      <c r="Q95" s="111"/>
      <c r="R95" s="111"/>
      <c r="S95" s="111"/>
      <c r="T95" s="111"/>
      <c r="U95" s="111"/>
      <c r="V95" s="111"/>
      <c r="W95" s="111"/>
      <c r="X95" s="111"/>
      <c r="Y95" s="111"/>
      <c r="Z95" s="111"/>
      <c r="AA95" s="111"/>
      <c r="AB95" s="111"/>
      <c r="AC95" s="111"/>
      <c r="AD95" s="111"/>
      <c r="AE95" s="111"/>
      <c r="AF95" s="111"/>
      <c r="AG95" s="111"/>
      <c r="AH95" s="111"/>
      <c r="AI95" s="111"/>
      <c r="AJ95" s="111"/>
      <c r="AK95" s="111"/>
      <c r="AL95" s="111"/>
      <c r="AM95" s="111"/>
      <c r="AN95" s="111"/>
      <c r="AO95" s="111"/>
      <c r="AP95" s="111"/>
      <c r="AQ95" s="111"/>
      <c r="AR95" s="111"/>
      <c r="AS95" s="111"/>
      <c r="AT95" s="111"/>
      <c r="AU95" s="111"/>
      <c r="AV95" s="111"/>
      <c r="AW95" s="111"/>
      <c r="AX95" s="111"/>
      <c r="AY95" s="111"/>
      <c r="AZ95" s="111"/>
      <c r="BA95" s="146"/>
      <c r="BB95" s="104" t="s">
        <v>99</v>
      </c>
      <c r="BC95" s="72" t="s">
        <v>95</v>
      </c>
      <c r="BD95" s="72"/>
      <c r="BE95" s="72"/>
      <c r="BF95" s="146"/>
      <c r="BG95" s="112"/>
      <c r="BH95" s="113"/>
      <c r="BI95" s="146"/>
      <c r="BJ95" s="105"/>
      <c r="BK95" s="113"/>
      <c r="BL95" s="113"/>
      <c r="BM95" s="105"/>
      <c r="BN95" s="113"/>
      <c r="BO95" s="113"/>
      <c r="BP95" s="146"/>
      <c r="BQ95" s="112" t="s">
        <v>113</v>
      </c>
      <c r="BR95" s="113"/>
      <c r="BS95" s="105"/>
      <c r="BT95" s="146"/>
      <c r="BU95" s="105"/>
      <c r="BV95" s="105"/>
      <c r="BW95" s="112"/>
      <c r="BX95" s="113"/>
      <c r="BY95" s="105"/>
      <c r="BZ95" s="113"/>
      <c r="CA95" s="113"/>
      <c r="CB95" s="105"/>
      <c r="CC95" s="113"/>
      <c r="CD95" s="113"/>
      <c r="CE95" s="112"/>
      <c r="CF95" s="113"/>
      <c r="CG95" s="105"/>
      <c r="CH95" s="146"/>
      <c r="CI95" s="105"/>
      <c r="CJ95" s="105"/>
      <c r="CK95" s="112"/>
      <c r="CL95" s="113"/>
      <c r="CM95" s="105"/>
      <c r="CN95" s="113"/>
      <c r="CO95" s="113"/>
      <c r="CP95" s="105"/>
      <c r="CQ95" s="113"/>
      <c r="CR95" s="113"/>
      <c r="CS95" s="112"/>
      <c r="CT95" s="113"/>
      <c r="CU95" s="105"/>
      <c r="CV95" s="146"/>
      <c r="CW95" s="105"/>
      <c r="CX95" s="105"/>
      <c r="CY95" s="112"/>
      <c r="CZ95" s="113"/>
      <c r="DA95" s="105"/>
      <c r="DB95" s="113"/>
      <c r="DC95" s="113"/>
      <c r="DD95" s="105"/>
      <c r="DE95" s="113"/>
      <c r="DF95" s="113"/>
      <c r="DG95" s="112"/>
      <c r="DH95" s="113"/>
      <c r="DI95" s="105"/>
      <c r="DJ95" s="146"/>
      <c r="DK95" s="105"/>
      <c r="DL95" s="105"/>
      <c r="DM95" s="112"/>
      <c r="DN95" s="113"/>
      <c r="DO95" s="105"/>
      <c r="DP95" s="113"/>
      <c r="DQ95" s="113"/>
      <c r="DR95" s="105"/>
      <c r="DS95" s="113"/>
      <c r="DT95" s="113"/>
      <c r="DU95" s="112"/>
      <c r="DV95" s="113"/>
      <c r="DW95" s="105"/>
      <c r="DX95" s="146"/>
      <c r="DY95" s="105"/>
      <c r="DZ95" s="105"/>
      <c r="EA95" s="112"/>
      <c r="EB95" s="113"/>
      <c r="EC95" s="105"/>
      <c r="ED95" s="113"/>
      <c r="EE95" s="113"/>
      <c r="EF95" s="105"/>
      <c r="EG95" s="113"/>
      <c r="EH95" s="113"/>
      <c r="EI95" s="112"/>
      <c r="EJ95" s="113"/>
      <c r="EK95" s="105"/>
      <c r="EL95" s="146"/>
      <c r="EM95" s="72"/>
      <c r="EN95" s="74"/>
      <c r="EO95" s="73"/>
      <c r="EP95" s="72" t="s">
        <v>96</v>
      </c>
      <c r="EQ95" s="72"/>
      <c r="ER95" s="75"/>
      <c r="ES95" s="76"/>
      <c r="ET95" s="77"/>
      <c r="EU95" s="77"/>
      <c r="EV95" s="78"/>
      <c r="EW95" s="72"/>
      <c r="EX95" s="72"/>
      <c r="EY95" s="72"/>
      <c r="EZ95" s="72"/>
      <c r="FA95" s="72"/>
      <c r="FB95" s="78"/>
      <c r="FC95" s="78"/>
      <c r="FD95" s="146"/>
      <c r="FE95" s="78"/>
      <c r="FF95" s="78"/>
      <c r="FG95" s="78"/>
      <c r="FO95" s="146"/>
      <c r="FP95" s="78"/>
      <c r="FQ95" s="78"/>
      <c r="FR95" s="78"/>
    </row>
    <row r="96" spans="1:181" s="71" customFormat="1" ht="16.350000000000001" customHeight="1" x14ac:dyDescent="0.25">
      <c r="A96" s="109"/>
      <c r="B96" s="70"/>
      <c r="C96" s="110"/>
      <c r="D96" s="110">
        <v>1</v>
      </c>
      <c r="E96" s="146"/>
      <c r="F96" s="109" t="str">
        <f>mehrsprachigkeitBegriffsrückgabe(gewählteSpracheZurückgeben(), "Product")</f>
        <v>Produkt</v>
      </c>
      <c r="G96" s="111" t="s">
        <v>235</v>
      </c>
      <c r="H96" s="111"/>
      <c r="I96" s="111" t="s">
        <v>86</v>
      </c>
      <c r="J96" s="111" t="s">
        <v>453</v>
      </c>
      <c r="K96" s="111"/>
      <c r="L96" s="146"/>
      <c r="M96" s="149" t="s">
        <v>392</v>
      </c>
      <c r="N96" s="111" t="s">
        <v>395</v>
      </c>
      <c r="O96" s="114"/>
      <c r="P96" s="114"/>
      <c r="Q96" s="111"/>
      <c r="R96" s="111"/>
      <c r="S96" s="111"/>
      <c r="T96" s="111"/>
      <c r="U96" s="111"/>
      <c r="V96" s="111"/>
      <c r="W96" s="111"/>
      <c r="X96" s="111"/>
      <c r="Y96" s="111"/>
      <c r="Z96" s="111"/>
      <c r="AA96" s="111"/>
      <c r="AB96" s="111"/>
      <c r="AC96" s="111"/>
      <c r="AD96" s="111"/>
      <c r="AE96" s="111"/>
      <c r="AF96" s="111"/>
      <c r="AG96" s="111"/>
      <c r="AH96" s="111"/>
      <c r="AI96" s="111"/>
      <c r="AJ96" s="111"/>
      <c r="AK96" s="111"/>
      <c r="AL96" s="111"/>
      <c r="AM96" s="111"/>
      <c r="AN96" s="111"/>
      <c r="AO96" s="111"/>
      <c r="AP96" s="111"/>
      <c r="AQ96" s="111"/>
      <c r="AR96" s="111"/>
      <c r="AS96" s="111"/>
      <c r="AT96" s="111"/>
      <c r="AU96" s="111"/>
      <c r="AV96" s="111"/>
      <c r="AW96" s="111"/>
      <c r="AX96" s="111"/>
      <c r="AY96" s="111"/>
      <c r="AZ96" s="111"/>
      <c r="BA96" s="146"/>
      <c r="BB96" s="104" t="s">
        <v>98</v>
      </c>
      <c r="BC96" s="72" t="s">
        <v>93</v>
      </c>
      <c r="BD96" s="72" t="s">
        <v>509</v>
      </c>
      <c r="BE96" s="72" t="s">
        <v>415</v>
      </c>
      <c r="BF96" s="146"/>
      <c r="BG96" s="112"/>
      <c r="BH96" s="113"/>
      <c r="BI96" s="146"/>
      <c r="BJ96" s="105"/>
      <c r="BK96" s="113"/>
      <c r="BL96" s="113"/>
      <c r="BM96" s="105"/>
      <c r="BN96" s="113"/>
      <c r="BO96" s="152"/>
      <c r="BP96" s="146"/>
      <c r="BQ96" s="112">
        <v>69.900000000000006</v>
      </c>
      <c r="BR96" s="113"/>
      <c r="BS96" s="105">
        <v>1</v>
      </c>
      <c r="BT96" s="146"/>
      <c r="BU96" s="105"/>
      <c r="BV96" s="105"/>
      <c r="BW96" s="112"/>
      <c r="BX96" s="113"/>
      <c r="BY96" s="105"/>
      <c r="BZ96" s="113"/>
      <c r="CA96" s="113"/>
      <c r="CB96" s="105"/>
      <c r="CC96" s="113"/>
      <c r="CD96" s="152"/>
      <c r="CE96" s="112"/>
      <c r="CF96" s="113"/>
      <c r="CG96" s="105"/>
      <c r="CH96" s="146"/>
      <c r="CI96" s="105"/>
      <c r="CJ96" s="105"/>
      <c r="CK96" s="112"/>
      <c r="CL96" s="113"/>
      <c r="CM96" s="105"/>
      <c r="CN96" s="152"/>
      <c r="CO96" s="152"/>
      <c r="CP96" s="105"/>
      <c r="CQ96" s="113"/>
      <c r="CR96" s="152"/>
      <c r="CS96" s="112"/>
      <c r="CT96" s="113"/>
      <c r="CU96" s="105"/>
      <c r="CV96" s="146"/>
      <c r="CW96" s="105"/>
      <c r="CX96" s="105"/>
      <c r="CY96" s="112"/>
      <c r="CZ96" s="113"/>
      <c r="DA96" s="105"/>
      <c r="DB96" s="113"/>
      <c r="DC96" s="113"/>
      <c r="DD96" s="105"/>
      <c r="DE96" s="113"/>
      <c r="DF96" s="113"/>
      <c r="DG96" s="112"/>
      <c r="DH96" s="113"/>
      <c r="DI96" s="105"/>
      <c r="DJ96" s="146"/>
      <c r="DK96" s="105"/>
      <c r="DL96" s="105"/>
      <c r="DM96" s="112"/>
      <c r="DN96" s="113"/>
      <c r="DO96" s="105"/>
      <c r="DP96" s="113"/>
      <c r="DQ96" s="113"/>
      <c r="DR96" s="105"/>
      <c r="DS96" s="113"/>
      <c r="DT96" s="113"/>
      <c r="DU96" s="112"/>
      <c r="DV96" s="113"/>
      <c r="DW96" s="105"/>
      <c r="DX96" s="146"/>
      <c r="DY96" s="105"/>
      <c r="DZ96" s="105"/>
      <c r="EA96" s="112"/>
      <c r="EB96" s="113"/>
      <c r="EC96" s="105"/>
      <c r="ED96" s="113"/>
      <c r="EE96" s="113"/>
      <c r="EF96" s="105"/>
      <c r="EG96" s="113"/>
      <c r="EH96" s="113"/>
      <c r="EI96" s="112"/>
      <c r="EJ96" s="113"/>
      <c r="EK96" s="105"/>
      <c r="EL96" s="146"/>
      <c r="EM96" s="72" t="s">
        <v>115</v>
      </c>
      <c r="EN96" s="74">
        <v>2250</v>
      </c>
      <c r="EO96" s="73"/>
      <c r="EP96" s="72" t="s">
        <v>77</v>
      </c>
      <c r="EQ96" s="72"/>
      <c r="ER96" s="75"/>
      <c r="ES96" s="76"/>
      <c r="ET96" s="77"/>
      <c r="EU96" s="77">
        <v>1</v>
      </c>
      <c r="EV96" s="78"/>
      <c r="EW96" s="72"/>
      <c r="EX96" s="72"/>
      <c r="EY96" s="72" t="s">
        <v>100</v>
      </c>
      <c r="EZ96" s="72" t="s">
        <v>114</v>
      </c>
      <c r="FA96" s="72"/>
      <c r="FB96" s="78"/>
      <c r="FC96" s="78"/>
      <c r="FD96" s="146"/>
      <c r="FE96" s="78"/>
      <c r="FF96" s="78"/>
      <c r="FG96" s="78"/>
      <c r="FH96" s="78"/>
      <c r="FI96" s="78"/>
      <c r="FJ96" s="78"/>
      <c r="FK96" s="78"/>
      <c r="FL96" s="78"/>
      <c r="FM96" s="78"/>
      <c r="FN96" s="78"/>
      <c r="FO96" s="146"/>
      <c r="FP96" s="78"/>
      <c r="FQ96" s="78"/>
      <c r="FR96" s="78"/>
      <c r="FS96" s="78"/>
      <c r="FT96" s="78"/>
      <c r="FU96" s="78"/>
      <c r="FV96" s="78"/>
      <c r="FW96" s="78"/>
      <c r="FX96" s="78"/>
      <c r="FY96" s="78"/>
    </row>
    <row r="97" spans="1:181" s="71" customFormat="1" ht="16.350000000000001" customHeight="1" x14ac:dyDescent="0.25">
      <c r="A97" s="109"/>
      <c r="B97" s="70"/>
      <c r="C97" s="110"/>
      <c r="D97" s="110"/>
      <c r="E97" s="146"/>
      <c r="F97" s="109" t="str">
        <f>mehrsprachigkeitBegriffsrückgabe(gewählteSpracheZurückgeben(), "Product (foreign language)")</f>
        <v>Produkt (Fremdsprache)</v>
      </c>
      <c r="G97" s="111"/>
      <c r="H97" s="111" t="s">
        <v>235</v>
      </c>
      <c r="I97" s="111" t="s">
        <v>94</v>
      </c>
      <c r="J97" s="111" t="s">
        <v>454</v>
      </c>
      <c r="K97" s="111"/>
      <c r="L97" s="146"/>
      <c r="M97" s="149"/>
      <c r="N97" s="111"/>
      <c r="O97" s="111"/>
      <c r="P97" s="111"/>
      <c r="Q97" s="111"/>
      <c r="R97" s="111"/>
      <c r="S97" s="111"/>
      <c r="T97" s="111"/>
      <c r="U97" s="111"/>
      <c r="V97" s="111"/>
      <c r="W97" s="111"/>
      <c r="X97" s="111"/>
      <c r="Y97" s="111"/>
      <c r="Z97" s="111"/>
      <c r="AA97" s="111"/>
      <c r="AB97" s="111"/>
      <c r="AC97" s="111"/>
      <c r="AD97" s="111"/>
      <c r="AE97" s="111"/>
      <c r="AF97" s="111"/>
      <c r="AG97" s="111"/>
      <c r="AH97" s="111"/>
      <c r="AI97" s="111"/>
      <c r="AJ97" s="111"/>
      <c r="AK97" s="111"/>
      <c r="AL97" s="111"/>
      <c r="AM97" s="111"/>
      <c r="AN97" s="111"/>
      <c r="AO97" s="111"/>
      <c r="AP97" s="111"/>
      <c r="AQ97" s="111"/>
      <c r="AR97" s="111"/>
      <c r="AS97" s="111"/>
      <c r="AT97" s="111"/>
      <c r="AU97" s="111"/>
      <c r="AV97" s="111"/>
      <c r="AW97" s="111"/>
      <c r="AX97" s="111"/>
      <c r="AY97" s="111"/>
      <c r="AZ97" s="111"/>
      <c r="BA97" s="146"/>
      <c r="BB97" s="104" t="s">
        <v>99</v>
      </c>
      <c r="BC97" s="72" t="s">
        <v>95</v>
      </c>
      <c r="BD97" s="72"/>
      <c r="BE97" s="72"/>
      <c r="BF97" s="146"/>
      <c r="BG97" s="112"/>
      <c r="BH97" s="113"/>
      <c r="BI97" s="146"/>
      <c r="BJ97" s="105"/>
      <c r="BK97" s="113"/>
      <c r="BL97" s="113"/>
      <c r="BM97" s="105"/>
      <c r="BN97" s="113"/>
      <c r="BO97" s="113"/>
      <c r="BP97" s="146"/>
      <c r="BQ97" s="112" t="s">
        <v>113</v>
      </c>
      <c r="BR97" s="113"/>
      <c r="BS97" s="105"/>
      <c r="BT97" s="146"/>
      <c r="BU97" s="105"/>
      <c r="BV97" s="105"/>
      <c r="BW97" s="112"/>
      <c r="BX97" s="113"/>
      <c r="BY97" s="105"/>
      <c r="BZ97" s="113"/>
      <c r="CA97" s="113"/>
      <c r="CB97" s="105"/>
      <c r="CC97" s="113"/>
      <c r="CD97" s="113"/>
      <c r="CE97" s="112"/>
      <c r="CF97" s="113"/>
      <c r="CG97" s="105"/>
      <c r="CH97" s="146"/>
      <c r="CI97" s="105"/>
      <c r="CJ97" s="105"/>
      <c r="CK97" s="112"/>
      <c r="CL97" s="113"/>
      <c r="CM97" s="105"/>
      <c r="CN97" s="113"/>
      <c r="CO97" s="113"/>
      <c r="CP97" s="105"/>
      <c r="CQ97" s="113"/>
      <c r="CR97" s="113"/>
      <c r="CS97" s="112"/>
      <c r="CT97" s="113"/>
      <c r="CU97" s="105"/>
      <c r="CV97" s="146"/>
      <c r="CW97" s="105"/>
      <c r="CX97" s="105"/>
      <c r="CY97" s="112"/>
      <c r="CZ97" s="113"/>
      <c r="DA97" s="105"/>
      <c r="DB97" s="113"/>
      <c r="DC97" s="113"/>
      <c r="DD97" s="105"/>
      <c r="DE97" s="113"/>
      <c r="DF97" s="113"/>
      <c r="DG97" s="112"/>
      <c r="DH97" s="113"/>
      <c r="DI97" s="105"/>
      <c r="DJ97" s="146"/>
      <c r="DK97" s="105"/>
      <c r="DL97" s="105"/>
      <c r="DM97" s="112"/>
      <c r="DN97" s="113"/>
      <c r="DO97" s="105"/>
      <c r="DP97" s="113"/>
      <c r="DQ97" s="113"/>
      <c r="DR97" s="105"/>
      <c r="DS97" s="113"/>
      <c r="DT97" s="113"/>
      <c r="DU97" s="112"/>
      <c r="DV97" s="113"/>
      <c r="DW97" s="105"/>
      <c r="DX97" s="146"/>
      <c r="DY97" s="105"/>
      <c r="DZ97" s="105"/>
      <c r="EA97" s="112"/>
      <c r="EB97" s="113"/>
      <c r="EC97" s="105"/>
      <c r="ED97" s="113"/>
      <c r="EE97" s="113"/>
      <c r="EF97" s="105"/>
      <c r="EG97" s="113"/>
      <c r="EH97" s="113"/>
      <c r="EI97" s="112"/>
      <c r="EJ97" s="113"/>
      <c r="EK97" s="105"/>
      <c r="EL97" s="146"/>
      <c r="EM97" s="72"/>
      <c r="EN97" s="74"/>
      <c r="EO97" s="73"/>
      <c r="EP97" s="72" t="s">
        <v>96</v>
      </c>
      <c r="EQ97" s="72"/>
      <c r="ER97" s="75"/>
      <c r="ES97" s="76"/>
      <c r="ET97" s="77"/>
      <c r="EU97" s="77"/>
      <c r="EV97" s="78"/>
      <c r="EW97" s="72"/>
      <c r="EX97" s="72"/>
      <c r="EY97" s="72"/>
      <c r="EZ97" s="72"/>
      <c r="FA97" s="72"/>
      <c r="FB97" s="78"/>
      <c r="FC97" s="78"/>
      <c r="FD97" s="146"/>
      <c r="FE97" s="78"/>
      <c r="FF97" s="78"/>
      <c r="FG97" s="78"/>
      <c r="FO97" s="146"/>
      <c r="FP97" s="78"/>
      <c r="FQ97" s="78"/>
      <c r="FR97" s="78"/>
    </row>
    <row r="98" spans="1:181" s="71" customFormat="1" ht="16.350000000000001" customHeight="1" x14ac:dyDescent="0.25">
      <c r="A98" s="109"/>
      <c r="B98" s="70"/>
      <c r="C98" s="110"/>
      <c r="D98" s="110">
        <v>1</v>
      </c>
      <c r="E98" s="146"/>
      <c r="F98" s="109" t="str">
        <f>mehrsprachigkeitBegriffsrückgabe(gewählteSpracheZurückgeben(), "Product")</f>
        <v>Produkt</v>
      </c>
      <c r="G98" s="111" t="s">
        <v>236</v>
      </c>
      <c r="H98" s="111"/>
      <c r="I98" s="111" t="s">
        <v>86</v>
      </c>
      <c r="J98" s="111" t="s">
        <v>455</v>
      </c>
      <c r="K98" s="111"/>
      <c r="L98" s="146"/>
      <c r="M98" s="149" t="s">
        <v>392</v>
      </c>
      <c r="N98" s="111" t="s">
        <v>395</v>
      </c>
      <c r="O98" s="114"/>
      <c r="P98" s="114"/>
      <c r="Q98" s="111"/>
      <c r="R98" s="111"/>
      <c r="S98" s="111"/>
      <c r="T98" s="111"/>
      <c r="U98" s="111"/>
      <c r="V98" s="111"/>
      <c r="W98" s="111"/>
      <c r="X98" s="111"/>
      <c r="Y98" s="111"/>
      <c r="Z98" s="111"/>
      <c r="AA98" s="111"/>
      <c r="AB98" s="111"/>
      <c r="AC98" s="111"/>
      <c r="AD98" s="111"/>
      <c r="AE98" s="111"/>
      <c r="AF98" s="111"/>
      <c r="AG98" s="111"/>
      <c r="AH98" s="111"/>
      <c r="AI98" s="111"/>
      <c r="AJ98" s="111"/>
      <c r="AK98" s="111"/>
      <c r="AL98" s="111"/>
      <c r="AM98" s="111"/>
      <c r="AN98" s="111"/>
      <c r="AO98" s="111"/>
      <c r="AP98" s="111"/>
      <c r="AQ98" s="111"/>
      <c r="AR98" s="111"/>
      <c r="AS98" s="111"/>
      <c r="AT98" s="111"/>
      <c r="AU98" s="111"/>
      <c r="AV98" s="111"/>
      <c r="AW98" s="111"/>
      <c r="AX98" s="111"/>
      <c r="AY98" s="111"/>
      <c r="AZ98" s="111"/>
      <c r="BA98" s="146"/>
      <c r="BB98" s="104" t="s">
        <v>98</v>
      </c>
      <c r="BC98" s="72" t="s">
        <v>93</v>
      </c>
      <c r="BD98" s="72" t="s">
        <v>509</v>
      </c>
      <c r="BE98" s="72" t="s">
        <v>412</v>
      </c>
      <c r="BF98" s="146"/>
      <c r="BG98" s="112"/>
      <c r="BH98" s="113"/>
      <c r="BI98" s="146"/>
      <c r="BJ98" s="105"/>
      <c r="BK98" s="113"/>
      <c r="BL98" s="113"/>
      <c r="BM98" s="105"/>
      <c r="BN98" s="113"/>
      <c r="BO98" s="152"/>
      <c r="BP98" s="146"/>
      <c r="BQ98" s="112" t="s">
        <v>113</v>
      </c>
      <c r="BR98" s="113"/>
      <c r="BS98" s="105"/>
      <c r="BT98" s="146"/>
      <c r="BU98" s="105"/>
      <c r="BV98" s="105"/>
      <c r="BW98" s="112"/>
      <c r="BX98" s="113"/>
      <c r="BY98" s="105"/>
      <c r="BZ98" s="113"/>
      <c r="CA98" s="113"/>
      <c r="CB98" s="105"/>
      <c r="CC98" s="113"/>
      <c r="CD98" s="152"/>
      <c r="CE98" s="112"/>
      <c r="CF98" s="113"/>
      <c r="CG98" s="105"/>
      <c r="CH98" s="146"/>
      <c r="CI98" s="105"/>
      <c r="CJ98" s="105"/>
      <c r="CK98" s="112"/>
      <c r="CL98" s="113"/>
      <c r="CM98" s="105"/>
      <c r="CN98" s="152"/>
      <c r="CO98" s="152"/>
      <c r="CP98" s="105"/>
      <c r="CQ98" s="113"/>
      <c r="CR98" s="152"/>
      <c r="CS98" s="112"/>
      <c r="CT98" s="113"/>
      <c r="CU98" s="105"/>
      <c r="CV98" s="146"/>
      <c r="CW98" s="105"/>
      <c r="CX98" s="105"/>
      <c r="CY98" s="112"/>
      <c r="CZ98" s="113"/>
      <c r="DA98" s="105"/>
      <c r="DB98" s="113"/>
      <c r="DC98" s="113"/>
      <c r="DD98" s="105"/>
      <c r="DE98" s="113"/>
      <c r="DF98" s="113"/>
      <c r="DG98" s="112"/>
      <c r="DH98" s="113"/>
      <c r="DI98" s="105"/>
      <c r="DJ98" s="146"/>
      <c r="DK98" s="105"/>
      <c r="DL98" s="105"/>
      <c r="DM98" s="112"/>
      <c r="DN98" s="113"/>
      <c r="DO98" s="105"/>
      <c r="DP98" s="113"/>
      <c r="DQ98" s="113"/>
      <c r="DR98" s="105"/>
      <c r="DS98" s="113"/>
      <c r="DT98" s="113"/>
      <c r="DU98" s="112"/>
      <c r="DV98" s="113"/>
      <c r="DW98" s="105"/>
      <c r="DX98" s="146"/>
      <c r="DY98" s="105"/>
      <c r="DZ98" s="105"/>
      <c r="EA98" s="112"/>
      <c r="EB98" s="113"/>
      <c r="EC98" s="105"/>
      <c r="ED98" s="113"/>
      <c r="EE98" s="113"/>
      <c r="EF98" s="105"/>
      <c r="EG98" s="113"/>
      <c r="EH98" s="113"/>
      <c r="EI98" s="112"/>
      <c r="EJ98" s="113"/>
      <c r="EK98" s="105"/>
      <c r="EL98" s="146"/>
      <c r="EM98" s="72" t="s">
        <v>115</v>
      </c>
      <c r="EN98" s="74">
        <v>2250</v>
      </c>
      <c r="EO98" s="73"/>
      <c r="EP98" s="72" t="s">
        <v>77</v>
      </c>
      <c r="EQ98" s="72"/>
      <c r="ER98" s="75"/>
      <c r="ES98" s="76"/>
      <c r="ET98" s="77"/>
      <c r="EU98" s="77"/>
      <c r="EV98" s="78"/>
      <c r="EW98" s="72"/>
      <c r="EX98" s="72"/>
      <c r="EY98" s="72" t="s">
        <v>100</v>
      </c>
      <c r="EZ98" s="72" t="s">
        <v>114</v>
      </c>
      <c r="FA98" s="72"/>
      <c r="FB98" s="78"/>
      <c r="FC98" s="78"/>
      <c r="FD98" s="146"/>
      <c r="FE98" s="78"/>
      <c r="FF98" s="78"/>
      <c r="FG98" s="78"/>
      <c r="FH98" s="78"/>
      <c r="FI98" s="78"/>
      <c r="FJ98" s="78"/>
      <c r="FK98" s="78"/>
      <c r="FL98" s="78"/>
      <c r="FM98" s="78"/>
      <c r="FN98" s="78"/>
      <c r="FO98" s="146"/>
      <c r="FP98" s="78"/>
      <c r="FQ98" s="78"/>
      <c r="FR98" s="78"/>
      <c r="FS98" s="78"/>
      <c r="FT98" s="78"/>
      <c r="FU98" s="78"/>
      <c r="FV98" s="78"/>
      <c r="FW98" s="78"/>
      <c r="FX98" s="78"/>
      <c r="FY98" s="78"/>
    </row>
    <row r="99" spans="1:181" s="71" customFormat="1" ht="16.350000000000001" customHeight="1" x14ac:dyDescent="0.25">
      <c r="A99" s="109"/>
      <c r="B99" s="70"/>
      <c r="C99" s="110"/>
      <c r="D99" s="110"/>
      <c r="E99" s="146"/>
      <c r="F99" s="109" t="str">
        <f>mehrsprachigkeitBegriffsrückgabe(gewählteSpracheZurückgeben(), "Product (foreign language)")</f>
        <v>Produkt (Fremdsprache)</v>
      </c>
      <c r="G99" s="111"/>
      <c r="H99" s="111" t="s">
        <v>236</v>
      </c>
      <c r="I99" s="111" t="s">
        <v>94</v>
      </c>
      <c r="J99" s="111" t="s">
        <v>456</v>
      </c>
      <c r="K99" s="111"/>
      <c r="L99" s="146"/>
      <c r="M99" s="149"/>
      <c r="N99" s="111"/>
      <c r="O99" s="111"/>
      <c r="P99" s="111"/>
      <c r="Q99" s="111"/>
      <c r="R99" s="111"/>
      <c r="S99" s="111"/>
      <c r="T99" s="111"/>
      <c r="U99" s="111"/>
      <c r="V99" s="111"/>
      <c r="W99" s="111"/>
      <c r="X99" s="111"/>
      <c r="Y99" s="111"/>
      <c r="Z99" s="111"/>
      <c r="AA99" s="111"/>
      <c r="AB99" s="111"/>
      <c r="AC99" s="111"/>
      <c r="AD99" s="111"/>
      <c r="AE99" s="111"/>
      <c r="AF99" s="111"/>
      <c r="AG99" s="111"/>
      <c r="AH99" s="111"/>
      <c r="AI99" s="111"/>
      <c r="AJ99" s="111"/>
      <c r="AK99" s="111"/>
      <c r="AL99" s="111"/>
      <c r="AM99" s="111"/>
      <c r="AN99" s="111"/>
      <c r="AO99" s="111"/>
      <c r="AP99" s="111"/>
      <c r="AQ99" s="111"/>
      <c r="AR99" s="111"/>
      <c r="AS99" s="111"/>
      <c r="AT99" s="111"/>
      <c r="AU99" s="111"/>
      <c r="AV99" s="111"/>
      <c r="AW99" s="111"/>
      <c r="AX99" s="111"/>
      <c r="AY99" s="111"/>
      <c r="AZ99" s="111"/>
      <c r="BA99" s="146"/>
      <c r="BB99" s="104" t="s">
        <v>99</v>
      </c>
      <c r="BC99" s="72" t="s">
        <v>95</v>
      </c>
      <c r="BD99" s="72"/>
      <c r="BE99" s="72"/>
      <c r="BF99" s="146"/>
      <c r="BG99" s="112"/>
      <c r="BH99" s="113"/>
      <c r="BI99" s="146"/>
      <c r="BJ99" s="105"/>
      <c r="BK99" s="113"/>
      <c r="BL99" s="113"/>
      <c r="BM99" s="105"/>
      <c r="BN99" s="113"/>
      <c r="BO99" s="113"/>
      <c r="BP99" s="146"/>
      <c r="BQ99" s="112" t="s">
        <v>113</v>
      </c>
      <c r="BR99" s="113"/>
      <c r="BS99" s="105"/>
      <c r="BT99" s="146"/>
      <c r="BU99" s="105"/>
      <c r="BV99" s="105"/>
      <c r="BW99" s="112"/>
      <c r="BX99" s="113"/>
      <c r="BY99" s="105"/>
      <c r="BZ99" s="113"/>
      <c r="CA99" s="113"/>
      <c r="CB99" s="105"/>
      <c r="CC99" s="113"/>
      <c r="CD99" s="113"/>
      <c r="CE99" s="112"/>
      <c r="CF99" s="113"/>
      <c r="CG99" s="105"/>
      <c r="CH99" s="146"/>
      <c r="CI99" s="105"/>
      <c r="CJ99" s="105"/>
      <c r="CK99" s="112"/>
      <c r="CL99" s="113"/>
      <c r="CM99" s="105"/>
      <c r="CN99" s="113"/>
      <c r="CO99" s="113"/>
      <c r="CP99" s="105"/>
      <c r="CQ99" s="113"/>
      <c r="CR99" s="113"/>
      <c r="CS99" s="112"/>
      <c r="CT99" s="113"/>
      <c r="CU99" s="105"/>
      <c r="CV99" s="146"/>
      <c r="CW99" s="105"/>
      <c r="CX99" s="105"/>
      <c r="CY99" s="112"/>
      <c r="CZ99" s="113"/>
      <c r="DA99" s="105"/>
      <c r="DB99" s="113"/>
      <c r="DC99" s="113"/>
      <c r="DD99" s="105"/>
      <c r="DE99" s="113"/>
      <c r="DF99" s="113"/>
      <c r="DG99" s="112"/>
      <c r="DH99" s="113"/>
      <c r="DI99" s="105"/>
      <c r="DJ99" s="146"/>
      <c r="DK99" s="105"/>
      <c r="DL99" s="105"/>
      <c r="DM99" s="112"/>
      <c r="DN99" s="113"/>
      <c r="DO99" s="105"/>
      <c r="DP99" s="113"/>
      <c r="DQ99" s="113"/>
      <c r="DR99" s="105"/>
      <c r="DS99" s="113"/>
      <c r="DT99" s="113"/>
      <c r="DU99" s="112"/>
      <c r="DV99" s="113"/>
      <c r="DW99" s="105"/>
      <c r="DX99" s="146"/>
      <c r="DY99" s="105"/>
      <c r="DZ99" s="105"/>
      <c r="EA99" s="112"/>
      <c r="EB99" s="113"/>
      <c r="EC99" s="105"/>
      <c r="ED99" s="113"/>
      <c r="EE99" s="113"/>
      <c r="EF99" s="105"/>
      <c r="EG99" s="113"/>
      <c r="EH99" s="113"/>
      <c r="EI99" s="112"/>
      <c r="EJ99" s="113"/>
      <c r="EK99" s="105"/>
      <c r="EL99" s="146"/>
      <c r="EM99" s="72"/>
      <c r="EN99" s="74"/>
      <c r="EO99" s="73"/>
      <c r="EP99" s="72" t="s">
        <v>96</v>
      </c>
      <c r="EQ99" s="72"/>
      <c r="ER99" s="75"/>
      <c r="ES99" s="76"/>
      <c r="ET99" s="77"/>
      <c r="EU99" s="77"/>
      <c r="EV99" s="78"/>
      <c r="EW99" s="72"/>
      <c r="EX99" s="72"/>
      <c r="EY99" s="72"/>
      <c r="EZ99" s="72"/>
      <c r="FA99" s="72"/>
      <c r="FB99" s="78"/>
      <c r="FC99" s="78"/>
      <c r="FD99" s="146"/>
      <c r="FE99" s="78"/>
      <c r="FF99" s="78"/>
      <c r="FG99" s="78"/>
      <c r="FO99" s="146"/>
      <c r="FP99" s="78"/>
      <c r="FQ99" s="78"/>
      <c r="FR99" s="78"/>
    </row>
    <row r="100" spans="1:181" s="71" customFormat="1" ht="16.350000000000001" customHeight="1" x14ac:dyDescent="0.25">
      <c r="A100" s="109"/>
      <c r="B100" s="70"/>
      <c r="C100" s="110"/>
      <c r="D100" s="110">
        <v>1</v>
      </c>
      <c r="E100" s="146"/>
      <c r="F100" s="109" t="str">
        <f>mehrsprachigkeitBegriffsrückgabe(gewählteSpracheZurückgeben(), "Product")</f>
        <v>Produkt</v>
      </c>
      <c r="G100" s="111" t="s">
        <v>237</v>
      </c>
      <c r="H100" s="111"/>
      <c r="I100" s="111" t="s">
        <v>86</v>
      </c>
      <c r="J100" s="111" t="s">
        <v>457</v>
      </c>
      <c r="K100" s="111"/>
      <c r="L100" s="146"/>
      <c r="M100" s="149" t="s">
        <v>392</v>
      </c>
      <c r="N100" s="111" t="s">
        <v>403</v>
      </c>
      <c r="O100" s="114"/>
      <c r="P100" s="114"/>
      <c r="Q100" s="111"/>
      <c r="R100" s="111"/>
      <c r="S100" s="111"/>
      <c r="T100" s="111"/>
      <c r="U100" s="111"/>
      <c r="V100" s="111"/>
      <c r="W100" s="111"/>
      <c r="X100" s="111"/>
      <c r="Y100" s="111"/>
      <c r="Z100" s="111"/>
      <c r="AA100" s="111"/>
      <c r="AB100" s="111"/>
      <c r="AC100" s="111"/>
      <c r="AD100" s="111"/>
      <c r="AE100" s="111"/>
      <c r="AF100" s="111"/>
      <c r="AG100" s="111"/>
      <c r="AH100" s="111"/>
      <c r="AI100" s="111"/>
      <c r="AJ100" s="111"/>
      <c r="AK100" s="111"/>
      <c r="AL100" s="111"/>
      <c r="AM100" s="111"/>
      <c r="AN100" s="111"/>
      <c r="AO100" s="111"/>
      <c r="AP100" s="111"/>
      <c r="AQ100" s="111"/>
      <c r="AR100" s="111"/>
      <c r="AS100" s="111"/>
      <c r="AT100" s="111"/>
      <c r="AU100" s="111"/>
      <c r="AV100" s="111"/>
      <c r="AW100" s="111"/>
      <c r="AX100" s="111"/>
      <c r="AY100" s="111"/>
      <c r="AZ100" s="111"/>
      <c r="BA100" s="146"/>
      <c r="BB100" s="104" t="s">
        <v>98</v>
      </c>
      <c r="BC100" s="72" t="s">
        <v>93</v>
      </c>
      <c r="BD100" s="72" t="s">
        <v>509</v>
      </c>
      <c r="BE100" s="72" t="s">
        <v>412</v>
      </c>
      <c r="BF100" s="146"/>
      <c r="BG100" s="112"/>
      <c r="BH100" s="113"/>
      <c r="BI100" s="146"/>
      <c r="BJ100" s="105"/>
      <c r="BK100" s="113"/>
      <c r="BL100" s="113"/>
      <c r="BM100" s="105"/>
      <c r="BN100" s="113"/>
      <c r="BO100" s="152"/>
      <c r="BP100" s="146"/>
      <c r="BQ100" s="112">
        <v>119</v>
      </c>
      <c r="BR100" s="113"/>
      <c r="BS100" s="105">
        <v>1</v>
      </c>
      <c r="BT100" s="146"/>
      <c r="BU100" s="105"/>
      <c r="BV100" s="105"/>
      <c r="BW100" s="112"/>
      <c r="BX100" s="113"/>
      <c r="BY100" s="105"/>
      <c r="BZ100" s="113"/>
      <c r="CA100" s="113"/>
      <c r="CB100" s="105"/>
      <c r="CC100" s="113"/>
      <c r="CD100" s="152"/>
      <c r="CE100" s="112"/>
      <c r="CF100" s="113"/>
      <c r="CG100" s="105"/>
      <c r="CH100" s="146"/>
      <c r="CI100" s="105"/>
      <c r="CJ100" s="105"/>
      <c r="CK100" s="112"/>
      <c r="CL100" s="113"/>
      <c r="CM100" s="105"/>
      <c r="CN100" s="152"/>
      <c r="CO100" s="152"/>
      <c r="CP100" s="105"/>
      <c r="CQ100" s="113"/>
      <c r="CR100" s="152"/>
      <c r="CS100" s="112"/>
      <c r="CT100" s="113"/>
      <c r="CU100" s="105"/>
      <c r="CV100" s="146"/>
      <c r="CW100" s="105"/>
      <c r="CX100" s="105"/>
      <c r="CY100" s="112"/>
      <c r="CZ100" s="113"/>
      <c r="DA100" s="105"/>
      <c r="DB100" s="113"/>
      <c r="DC100" s="113"/>
      <c r="DD100" s="105"/>
      <c r="DE100" s="113"/>
      <c r="DF100" s="113"/>
      <c r="DG100" s="112"/>
      <c r="DH100" s="113"/>
      <c r="DI100" s="105"/>
      <c r="DJ100" s="146"/>
      <c r="DK100" s="105"/>
      <c r="DL100" s="105"/>
      <c r="DM100" s="112"/>
      <c r="DN100" s="113"/>
      <c r="DO100" s="105"/>
      <c r="DP100" s="113"/>
      <c r="DQ100" s="113"/>
      <c r="DR100" s="105"/>
      <c r="DS100" s="113"/>
      <c r="DT100" s="113"/>
      <c r="DU100" s="112"/>
      <c r="DV100" s="113"/>
      <c r="DW100" s="105"/>
      <c r="DX100" s="146"/>
      <c r="DY100" s="105"/>
      <c r="DZ100" s="105"/>
      <c r="EA100" s="112"/>
      <c r="EB100" s="113"/>
      <c r="EC100" s="105"/>
      <c r="ED100" s="113"/>
      <c r="EE100" s="113"/>
      <c r="EF100" s="105"/>
      <c r="EG100" s="113"/>
      <c r="EH100" s="113"/>
      <c r="EI100" s="112"/>
      <c r="EJ100" s="113"/>
      <c r="EK100" s="105"/>
      <c r="EL100" s="146"/>
      <c r="EM100" s="72" t="s">
        <v>115</v>
      </c>
      <c r="EN100" s="74">
        <v>2250</v>
      </c>
      <c r="EO100" s="73"/>
      <c r="EP100" s="72" t="s">
        <v>77</v>
      </c>
      <c r="EQ100" s="72"/>
      <c r="ER100" s="75"/>
      <c r="ES100" s="76"/>
      <c r="ET100" s="77"/>
      <c r="EU100" s="77">
        <v>1</v>
      </c>
      <c r="EV100" s="78"/>
      <c r="EW100" s="72"/>
      <c r="EX100" s="72"/>
      <c r="EY100" s="72" t="s">
        <v>100</v>
      </c>
      <c r="EZ100" s="72" t="s">
        <v>114</v>
      </c>
      <c r="FA100" s="72"/>
      <c r="FB100" s="78"/>
      <c r="FC100" s="78"/>
      <c r="FD100" s="146"/>
      <c r="FE100" s="78"/>
      <c r="FF100" s="78"/>
      <c r="FG100" s="78"/>
      <c r="FH100" s="78"/>
      <c r="FI100" s="78"/>
      <c r="FJ100" s="78"/>
      <c r="FK100" s="78"/>
      <c r="FL100" s="78"/>
      <c r="FM100" s="78"/>
      <c r="FN100" s="78"/>
      <c r="FO100" s="146"/>
      <c r="FP100" s="78"/>
      <c r="FQ100" s="78"/>
      <c r="FR100" s="78"/>
      <c r="FS100" s="78"/>
      <c r="FT100" s="78"/>
      <c r="FU100" s="78"/>
      <c r="FV100" s="78"/>
      <c r="FW100" s="78"/>
      <c r="FX100" s="78"/>
      <c r="FY100" s="78"/>
    </row>
    <row r="101" spans="1:181" s="71" customFormat="1" ht="16.350000000000001" customHeight="1" x14ac:dyDescent="0.25">
      <c r="A101" s="109"/>
      <c r="B101" s="70"/>
      <c r="C101" s="110"/>
      <c r="D101" s="110"/>
      <c r="E101" s="146"/>
      <c r="F101" s="109" t="str">
        <f>mehrsprachigkeitBegriffsrückgabe(gewählteSpracheZurückgeben(), "Product (foreign language)")</f>
        <v>Produkt (Fremdsprache)</v>
      </c>
      <c r="G101" s="111"/>
      <c r="H101" s="111" t="s">
        <v>237</v>
      </c>
      <c r="I101" s="111" t="s">
        <v>94</v>
      </c>
      <c r="J101" s="111" t="s">
        <v>458</v>
      </c>
      <c r="K101" s="111"/>
      <c r="L101" s="146"/>
      <c r="M101" s="149"/>
      <c r="N101" s="111"/>
      <c r="O101" s="111"/>
      <c r="P101" s="111"/>
      <c r="Q101" s="111"/>
      <c r="R101" s="111"/>
      <c r="S101" s="111"/>
      <c r="T101" s="111"/>
      <c r="U101" s="111"/>
      <c r="V101" s="111"/>
      <c r="W101" s="111"/>
      <c r="X101" s="111"/>
      <c r="Y101" s="111"/>
      <c r="Z101" s="111"/>
      <c r="AA101" s="111"/>
      <c r="AB101" s="111"/>
      <c r="AC101" s="111"/>
      <c r="AD101" s="111"/>
      <c r="AE101" s="111"/>
      <c r="AF101" s="111"/>
      <c r="AG101" s="111"/>
      <c r="AH101" s="111"/>
      <c r="AI101" s="111"/>
      <c r="AJ101" s="111"/>
      <c r="AK101" s="111"/>
      <c r="AL101" s="111"/>
      <c r="AM101" s="111"/>
      <c r="AN101" s="111"/>
      <c r="AO101" s="111"/>
      <c r="AP101" s="111"/>
      <c r="AQ101" s="111"/>
      <c r="AR101" s="111"/>
      <c r="AS101" s="111"/>
      <c r="AT101" s="111"/>
      <c r="AU101" s="111"/>
      <c r="AV101" s="111"/>
      <c r="AW101" s="111"/>
      <c r="AX101" s="111"/>
      <c r="AY101" s="111"/>
      <c r="AZ101" s="111"/>
      <c r="BA101" s="146"/>
      <c r="BB101" s="104" t="s">
        <v>99</v>
      </c>
      <c r="BC101" s="72" t="s">
        <v>95</v>
      </c>
      <c r="BD101" s="72"/>
      <c r="BE101" s="72"/>
      <c r="BF101" s="146"/>
      <c r="BG101" s="112"/>
      <c r="BH101" s="113"/>
      <c r="BI101" s="146"/>
      <c r="BJ101" s="105"/>
      <c r="BK101" s="113"/>
      <c r="BL101" s="113"/>
      <c r="BM101" s="105"/>
      <c r="BN101" s="113"/>
      <c r="BO101" s="113"/>
      <c r="BP101" s="146"/>
      <c r="BQ101" s="112" t="s">
        <v>113</v>
      </c>
      <c r="BR101" s="113"/>
      <c r="BS101" s="105"/>
      <c r="BT101" s="146"/>
      <c r="BU101" s="105"/>
      <c r="BV101" s="105"/>
      <c r="BW101" s="112"/>
      <c r="BX101" s="113"/>
      <c r="BY101" s="105"/>
      <c r="BZ101" s="113"/>
      <c r="CA101" s="113"/>
      <c r="CB101" s="105"/>
      <c r="CC101" s="113"/>
      <c r="CD101" s="113"/>
      <c r="CE101" s="112"/>
      <c r="CF101" s="113"/>
      <c r="CG101" s="105"/>
      <c r="CH101" s="146"/>
      <c r="CI101" s="105"/>
      <c r="CJ101" s="105"/>
      <c r="CK101" s="112"/>
      <c r="CL101" s="113"/>
      <c r="CM101" s="105"/>
      <c r="CN101" s="113"/>
      <c r="CO101" s="113"/>
      <c r="CP101" s="105"/>
      <c r="CQ101" s="113"/>
      <c r="CR101" s="113"/>
      <c r="CS101" s="112"/>
      <c r="CT101" s="113"/>
      <c r="CU101" s="105"/>
      <c r="CV101" s="146"/>
      <c r="CW101" s="105"/>
      <c r="CX101" s="105"/>
      <c r="CY101" s="112"/>
      <c r="CZ101" s="113"/>
      <c r="DA101" s="105"/>
      <c r="DB101" s="113"/>
      <c r="DC101" s="113"/>
      <c r="DD101" s="105"/>
      <c r="DE101" s="113"/>
      <c r="DF101" s="113"/>
      <c r="DG101" s="112"/>
      <c r="DH101" s="113"/>
      <c r="DI101" s="105"/>
      <c r="DJ101" s="146"/>
      <c r="DK101" s="105"/>
      <c r="DL101" s="105"/>
      <c r="DM101" s="112"/>
      <c r="DN101" s="113"/>
      <c r="DO101" s="105"/>
      <c r="DP101" s="113"/>
      <c r="DQ101" s="113"/>
      <c r="DR101" s="105"/>
      <c r="DS101" s="113"/>
      <c r="DT101" s="113"/>
      <c r="DU101" s="112"/>
      <c r="DV101" s="113"/>
      <c r="DW101" s="105"/>
      <c r="DX101" s="146"/>
      <c r="DY101" s="105"/>
      <c r="DZ101" s="105"/>
      <c r="EA101" s="112"/>
      <c r="EB101" s="113"/>
      <c r="EC101" s="105"/>
      <c r="ED101" s="113"/>
      <c r="EE101" s="113"/>
      <c r="EF101" s="105"/>
      <c r="EG101" s="113"/>
      <c r="EH101" s="113"/>
      <c r="EI101" s="112"/>
      <c r="EJ101" s="113"/>
      <c r="EK101" s="105"/>
      <c r="EL101" s="146"/>
      <c r="EM101" s="72"/>
      <c r="EN101" s="74"/>
      <c r="EO101" s="73"/>
      <c r="EP101" s="72" t="s">
        <v>96</v>
      </c>
      <c r="EQ101" s="72"/>
      <c r="ER101" s="75"/>
      <c r="ES101" s="76"/>
      <c r="ET101" s="77"/>
      <c r="EU101" s="77"/>
      <c r="EV101" s="78"/>
      <c r="EW101" s="72"/>
      <c r="EX101" s="72"/>
      <c r="EY101" s="72"/>
      <c r="EZ101" s="72"/>
      <c r="FA101" s="72"/>
      <c r="FB101" s="78"/>
      <c r="FC101" s="78"/>
      <c r="FD101" s="146"/>
      <c r="FE101" s="78"/>
      <c r="FF101" s="78"/>
      <c r="FG101" s="78"/>
      <c r="FO101" s="146"/>
      <c r="FP101" s="78"/>
      <c r="FQ101" s="78"/>
      <c r="FR101" s="78"/>
    </row>
    <row r="102" spans="1:181" s="71" customFormat="1" ht="16.350000000000001" customHeight="1" x14ac:dyDescent="0.25">
      <c r="A102" s="109"/>
      <c r="B102" s="70"/>
      <c r="C102" s="110"/>
      <c r="D102" s="110">
        <v>1</v>
      </c>
      <c r="E102" s="146"/>
      <c r="F102" s="109" t="str">
        <f>mehrsprachigkeitBegriffsrückgabe(gewählteSpracheZurückgeben(), "Product")</f>
        <v>Produkt</v>
      </c>
      <c r="G102" s="111" t="s">
        <v>238</v>
      </c>
      <c r="H102" s="111"/>
      <c r="I102" s="111" t="s">
        <v>86</v>
      </c>
      <c r="J102" s="111" t="s">
        <v>459</v>
      </c>
      <c r="K102" s="111"/>
      <c r="L102" s="146"/>
      <c r="M102" s="149" t="s">
        <v>392</v>
      </c>
      <c r="N102" s="111" t="s">
        <v>403</v>
      </c>
      <c r="O102" s="114"/>
      <c r="P102" s="114"/>
      <c r="Q102" s="111"/>
      <c r="R102" s="111"/>
      <c r="S102" s="111"/>
      <c r="T102" s="111"/>
      <c r="U102" s="111"/>
      <c r="V102" s="111"/>
      <c r="W102" s="111"/>
      <c r="X102" s="111"/>
      <c r="Y102" s="111"/>
      <c r="Z102" s="111"/>
      <c r="AA102" s="111"/>
      <c r="AB102" s="111"/>
      <c r="AC102" s="111"/>
      <c r="AD102" s="111"/>
      <c r="AE102" s="111"/>
      <c r="AF102" s="111"/>
      <c r="AG102" s="111"/>
      <c r="AH102" s="111"/>
      <c r="AI102" s="111"/>
      <c r="AJ102" s="111"/>
      <c r="AK102" s="111"/>
      <c r="AL102" s="111"/>
      <c r="AM102" s="111"/>
      <c r="AN102" s="111"/>
      <c r="AO102" s="111"/>
      <c r="AP102" s="111"/>
      <c r="AQ102" s="111"/>
      <c r="AR102" s="111"/>
      <c r="AS102" s="111"/>
      <c r="AT102" s="111"/>
      <c r="AU102" s="111"/>
      <c r="AV102" s="111"/>
      <c r="AW102" s="111"/>
      <c r="AX102" s="111"/>
      <c r="AY102" s="111"/>
      <c r="AZ102" s="111"/>
      <c r="BA102" s="146"/>
      <c r="BB102" s="104" t="s">
        <v>98</v>
      </c>
      <c r="BC102" s="72" t="s">
        <v>93</v>
      </c>
      <c r="BD102" s="72" t="s">
        <v>509</v>
      </c>
      <c r="BE102" s="72" t="s">
        <v>414</v>
      </c>
      <c r="BF102" s="146"/>
      <c r="BG102" s="112"/>
      <c r="BH102" s="113"/>
      <c r="BI102" s="146"/>
      <c r="BJ102" s="105"/>
      <c r="BK102" s="113"/>
      <c r="BL102" s="113"/>
      <c r="BM102" s="105"/>
      <c r="BN102" s="113"/>
      <c r="BO102" s="152"/>
      <c r="BP102" s="146"/>
      <c r="BQ102" s="112" t="s">
        <v>113</v>
      </c>
      <c r="BR102" s="113"/>
      <c r="BS102" s="105"/>
      <c r="BT102" s="146"/>
      <c r="BU102" s="105"/>
      <c r="BV102" s="105"/>
      <c r="BW102" s="112"/>
      <c r="BX102" s="113"/>
      <c r="BY102" s="105"/>
      <c r="BZ102" s="113"/>
      <c r="CA102" s="113"/>
      <c r="CB102" s="105"/>
      <c r="CC102" s="113"/>
      <c r="CD102" s="152"/>
      <c r="CE102" s="112"/>
      <c r="CF102" s="113"/>
      <c r="CG102" s="105"/>
      <c r="CH102" s="146"/>
      <c r="CI102" s="105"/>
      <c r="CJ102" s="105"/>
      <c r="CK102" s="112"/>
      <c r="CL102" s="113"/>
      <c r="CM102" s="105"/>
      <c r="CN102" s="152"/>
      <c r="CO102" s="152"/>
      <c r="CP102" s="105"/>
      <c r="CQ102" s="113"/>
      <c r="CR102" s="152"/>
      <c r="CS102" s="112"/>
      <c r="CT102" s="113"/>
      <c r="CU102" s="105"/>
      <c r="CV102" s="146"/>
      <c r="CW102" s="105"/>
      <c r="CX102" s="105"/>
      <c r="CY102" s="112"/>
      <c r="CZ102" s="113"/>
      <c r="DA102" s="105"/>
      <c r="DB102" s="113"/>
      <c r="DC102" s="113"/>
      <c r="DD102" s="105"/>
      <c r="DE102" s="113"/>
      <c r="DF102" s="113"/>
      <c r="DG102" s="112"/>
      <c r="DH102" s="113"/>
      <c r="DI102" s="105"/>
      <c r="DJ102" s="146"/>
      <c r="DK102" s="105"/>
      <c r="DL102" s="105"/>
      <c r="DM102" s="112"/>
      <c r="DN102" s="113"/>
      <c r="DO102" s="105"/>
      <c r="DP102" s="113"/>
      <c r="DQ102" s="113"/>
      <c r="DR102" s="105"/>
      <c r="DS102" s="113"/>
      <c r="DT102" s="113"/>
      <c r="DU102" s="112"/>
      <c r="DV102" s="113"/>
      <c r="DW102" s="105"/>
      <c r="DX102" s="146"/>
      <c r="DY102" s="105"/>
      <c r="DZ102" s="105"/>
      <c r="EA102" s="112"/>
      <c r="EB102" s="113"/>
      <c r="EC102" s="105"/>
      <c r="ED102" s="113"/>
      <c r="EE102" s="113"/>
      <c r="EF102" s="105"/>
      <c r="EG102" s="113"/>
      <c r="EH102" s="113"/>
      <c r="EI102" s="112"/>
      <c r="EJ102" s="113"/>
      <c r="EK102" s="105"/>
      <c r="EL102" s="146"/>
      <c r="EM102" s="72" t="s">
        <v>115</v>
      </c>
      <c r="EN102" s="74">
        <v>2250</v>
      </c>
      <c r="EO102" s="73"/>
      <c r="EP102" s="72" t="s">
        <v>77</v>
      </c>
      <c r="EQ102" s="72"/>
      <c r="ER102" s="75"/>
      <c r="ES102" s="76"/>
      <c r="ET102" s="77"/>
      <c r="EU102" s="77"/>
      <c r="EV102" s="78"/>
      <c r="EW102" s="72"/>
      <c r="EX102" s="72"/>
      <c r="EY102" s="72" t="s">
        <v>100</v>
      </c>
      <c r="EZ102" s="72" t="s">
        <v>114</v>
      </c>
      <c r="FA102" s="72"/>
      <c r="FB102" s="78"/>
      <c r="FC102" s="78"/>
      <c r="FD102" s="146"/>
      <c r="FE102" s="78"/>
      <c r="FF102" s="78"/>
      <c r="FG102" s="78"/>
      <c r="FH102" s="78"/>
      <c r="FI102" s="78"/>
      <c r="FJ102" s="78"/>
      <c r="FK102" s="78"/>
      <c r="FL102" s="78"/>
      <c r="FM102" s="78"/>
      <c r="FN102" s="78"/>
      <c r="FO102" s="146"/>
      <c r="FP102" s="78"/>
      <c r="FQ102" s="78"/>
      <c r="FR102" s="78"/>
      <c r="FS102" s="78"/>
      <c r="FT102" s="78"/>
      <c r="FU102" s="78"/>
      <c r="FV102" s="78"/>
      <c r="FW102" s="78"/>
      <c r="FX102" s="78"/>
      <c r="FY102" s="78"/>
    </row>
    <row r="103" spans="1:181" s="71" customFormat="1" ht="16.350000000000001" customHeight="1" x14ac:dyDescent="0.25">
      <c r="A103" s="109"/>
      <c r="B103" s="70"/>
      <c r="C103" s="110"/>
      <c r="D103" s="110"/>
      <c r="E103" s="146"/>
      <c r="F103" s="109" t="str">
        <f>mehrsprachigkeitBegriffsrückgabe(gewählteSpracheZurückgeben(), "Product (foreign language)")</f>
        <v>Produkt (Fremdsprache)</v>
      </c>
      <c r="G103" s="111"/>
      <c r="H103" s="111" t="s">
        <v>238</v>
      </c>
      <c r="I103" s="111" t="s">
        <v>94</v>
      </c>
      <c r="J103" s="111" t="s">
        <v>460</v>
      </c>
      <c r="K103" s="111"/>
      <c r="L103" s="146"/>
      <c r="M103" s="149"/>
      <c r="N103" s="111"/>
      <c r="O103" s="111"/>
      <c r="P103" s="111"/>
      <c r="Q103" s="111"/>
      <c r="R103" s="111"/>
      <c r="S103" s="111"/>
      <c r="T103" s="111"/>
      <c r="U103" s="111"/>
      <c r="V103" s="111"/>
      <c r="W103" s="111"/>
      <c r="X103" s="111"/>
      <c r="Y103" s="111"/>
      <c r="Z103" s="111"/>
      <c r="AA103" s="111"/>
      <c r="AB103" s="111"/>
      <c r="AC103" s="111"/>
      <c r="AD103" s="111"/>
      <c r="AE103" s="111"/>
      <c r="AF103" s="111"/>
      <c r="AG103" s="111"/>
      <c r="AH103" s="111"/>
      <c r="AI103" s="111"/>
      <c r="AJ103" s="111"/>
      <c r="AK103" s="111"/>
      <c r="AL103" s="111"/>
      <c r="AM103" s="111"/>
      <c r="AN103" s="111"/>
      <c r="AO103" s="111"/>
      <c r="AP103" s="111"/>
      <c r="AQ103" s="111"/>
      <c r="AR103" s="111"/>
      <c r="AS103" s="111"/>
      <c r="AT103" s="111"/>
      <c r="AU103" s="111"/>
      <c r="AV103" s="111"/>
      <c r="AW103" s="111"/>
      <c r="AX103" s="111"/>
      <c r="AY103" s="111"/>
      <c r="AZ103" s="111"/>
      <c r="BA103" s="146"/>
      <c r="BB103" s="104" t="s">
        <v>99</v>
      </c>
      <c r="BC103" s="72" t="s">
        <v>95</v>
      </c>
      <c r="BD103" s="72"/>
      <c r="BE103" s="72"/>
      <c r="BF103" s="146"/>
      <c r="BG103" s="112"/>
      <c r="BH103" s="113"/>
      <c r="BI103" s="146"/>
      <c r="BJ103" s="105"/>
      <c r="BK103" s="113"/>
      <c r="BL103" s="113"/>
      <c r="BM103" s="105"/>
      <c r="BN103" s="113"/>
      <c r="BO103" s="113"/>
      <c r="BP103" s="146"/>
      <c r="BQ103" s="112" t="s">
        <v>113</v>
      </c>
      <c r="BR103" s="113"/>
      <c r="BS103" s="105"/>
      <c r="BT103" s="146"/>
      <c r="BU103" s="105"/>
      <c r="BV103" s="105"/>
      <c r="BW103" s="112"/>
      <c r="BX103" s="113"/>
      <c r="BY103" s="105"/>
      <c r="BZ103" s="113"/>
      <c r="CA103" s="113"/>
      <c r="CB103" s="105"/>
      <c r="CC103" s="113"/>
      <c r="CD103" s="113"/>
      <c r="CE103" s="112"/>
      <c r="CF103" s="113"/>
      <c r="CG103" s="105"/>
      <c r="CH103" s="146"/>
      <c r="CI103" s="105"/>
      <c r="CJ103" s="105"/>
      <c r="CK103" s="112"/>
      <c r="CL103" s="113"/>
      <c r="CM103" s="105"/>
      <c r="CN103" s="113"/>
      <c r="CO103" s="113"/>
      <c r="CP103" s="105"/>
      <c r="CQ103" s="113"/>
      <c r="CR103" s="113"/>
      <c r="CS103" s="112"/>
      <c r="CT103" s="113"/>
      <c r="CU103" s="105"/>
      <c r="CV103" s="146"/>
      <c r="CW103" s="105"/>
      <c r="CX103" s="105"/>
      <c r="CY103" s="112"/>
      <c r="CZ103" s="113"/>
      <c r="DA103" s="105"/>
      <c r="DB103" s="113"/>
      <c r="DC103" s="113"/>
      <c r="DD103" s="105"/>
      <c r="DE103" s="113"/>
      <c r="DF103" s="113"/>
      <c r="DG103" s="112"/>
      <c r="DH103" s="113"/>
      <c r="DI103" s="105"/>
      <c r="DJ103" s="146"/>
      <c r="DK103" s="105"/>
      <c r="DL103" s="105"/>
      <c r="DM103" s="112"/>
      <c r="DN103" s="113"/>
      <c r="DO103" s="105"/>
      <c r="DP103" s="113"/>
      <c r="DQ103" s="113"/>
      <c r="DR103" s="105"/>
      <c r="DS103" s="113"/>
      <c r="DT103" s="113"/>
      <c r="DU103" s="112"/>
      <c r="DV103" s="113"/>
      <c r="DW103" s="105"/>
      <c r="DX103" s="146"/>
      <c r="DY103" s="105"/>
      <c r="DZ103" s="105"/>
      <c r="EA103" s="112"/>
      <c r="EB103" s="113"/>
      <c r="EC103" s="105"/>
      <c r="ED103" s="113"/>
      <c r="EE103" s="113"/>
      <c r="EF103" s="105"/>
      <c r="EG103" s="113"/>
      <c r="EH103" s="113"/>
      <c r="EI103" s="112"/>
      <c r="EJ103" s="113"/>
      <c r="EK103" s="105"/>
      <c r="EL103" s="146"/>
      <c r="EM103" s="72"/>
      <c r="EN103" s="74"/>
      <c r="EO103" s="73"/>
      <c r="EP103" s="72" t="s">
        <v>96</v>
      </c>
      <c r="EQ103" s="72"/>
      <c r="ER103" s="75"/>
      <c r="ES103" s="76"/>
      <c r="ET103" s="77"/>
      <c r="EU103" s="77"/>
      <c r="EV103" s="78"/>
      <c r="EW103" s="72"/>
      <c r="EX103" s="72"/>
      <c r="EY103" s="72"/>
      <c r="EZ103" s="72"/>
      <c r="FA103" s="72"/>
      <c r="FB103" s="78"/>
      <c r="FC103" s="78"/>
      <c r="FD103" s="146"/>
      <c r="FE103" s="78"/>
      <c r="FF103" s="78"/>
      <c r="FG103" s="78"/>
      <c r="FO103" s="146"/>
      <c r="FP103" s="78"/>
      <c r="FQ103" s="78"/>
      <c r="FR103" s="78"/>
    </row>
    <row r="104" spans="1:181" s="71" customFormat="1" ht="16.350000000000001" customHeight="1" x14ac:dyDescent="0.25">
      <c r="A104" s="109"/>
      <c r="B104" s="70"/>
      <c r="C104" s="110"/>
      <c r="D104" s="110">
        <v>1</v>
      </c>
      <c r="E104" s="146"/>
      <c r="F104" s="109" t="str">
        <f>mehrsprachigkeitBegriffsrückgabe(gewählteSpracheZurückgeben(), "Product")</f>
        <v>Produkt</v>
      </c>
      <c r="G104" s="111" t="s">
        <v>239</v>
      </c>
      <c r="H104" s="111"/>
      <c r="I104" s="111" t="s">
        <v>86</v>
      </c>
      <c r="J104" s="111" t="s">
        <v>461</v>
      </c>
      <c r="K104" s="111"/>
      <c r="L104" s="146"/>
      <c r="M104" s="149" t="s">
        <v>392</v>
      </c>
      <c r="N104" s="111" t="s">
        <v>397</v>
      </c>
      <c r="O104" s="114" t="s">
        <v>392</v>
      </c>
      <c r="P104" s="114" t="s">
        <v>403</v>
      </c>
      <c r="Q104" s="111"/>
      <c r="R104" s="111"/>
      <c r="S104" s="111"/>
      <c r="T104" s="111"/>
      <c r="U104" s="111"/>
      <c r="V104" s="111"/>
      <c r="W104" s="111"/>
      <c r="X104" s="111"/>
      <c r="Y104" s="111"/>
      <c r="Z104" s="111"/>
      <c r="AA104" s="111"/>
      <c r="AB104" s="111"/>
      <c r="AC104" s="111"/>
      <c r="AD104" s="111"/>
      <c r="AE104" s="111"/>
      <c r="AF104" s="111"/>
      <c r="AG104" s="111"/>
      <c r="AH104" s="111"/>
      <c r="AI104" s="111"/>
      <c r="AJ104" s="111"/>
      <c r="AK104" s="111"/>
      <c r="AL104" s="111"/>
      <c r="AM104" s="111"/>
      <c r="AN104" s="111"/>
      <c r="AO104" s="111"/>
      <c r="AP104" s="111"/>
      <c r="AQ104" s="111"/>
      <c r="AR104" s="111"/>
      <c r="AS104" s="111"/>
      <c r="AT104" s="111"/>
      <c r="AU104" s="111"/>
      <c r="AV104" s="111"/>
      <c r="AW104" s="111"/>
      <c r="AX104" s="111"/>
      <c r="AY104" s="111"/>
      <c r="AZ104" s="111"/>
      <c r="BA104" s="146"/>
      <c r="BB104" s="104" t="s">
        <v>98</v>
      </c>
      <c r="BC104" s="72" t="s">
        <v>93</v>
      </c>
      <c r="BD104" s="72" t="s">
        <v>509</v>
      </c>
      <c r="BE104" s="72" t="s">
        <v>413</v>
      </c>
      <c r="BF104" s="146"/>
      <c r="BG104" s="112"/>
      <c r="BH104" s="113"/>
      <c r="BI104" s="146"/>
      <c r="BJ104" s="105"/>
      <c r="BK104" s="113"/>
      <c r="BL104" s="113"/>
      <c r="BM104" s="105"/>
      <c r="BN104" s="113"/>
      <c r="BO104" s="152"/>
      <c r="BP104" s="146"/>
      <c r="BQ104" s="112" t="s">
        <v>113</v>
      </c>
      <c r="BR104" s="113"/>
      <c r="BS104" s="105"/>
      <c r="BT104" s="146"/>
      <c r="BU104" s="105"/>
      <c r="BV104" s="105"/>
      <c r="BW104" s="112"/>
      <c r="BX104" s="113"/>
      <c r="BY104" s="105"/>
      <c r="BZ104" s="113"/>
      <c r="CA104" s="113"/>
      <c r="CB104" s="105"/>
      <c r="CC104" s="113"/>
      <c r="CD104" s="152"/>
      <c r="CE104" s="112"/>
      <c r="CF104" s="113"/>
      <c r="CG104" s="105"/>
      <c r="CH104" s="146"/>
      <c r="CI104" s="105"/>
      <c r="CJ104" s="105"/>
      <c r="CK104" s="112"/>
      <c r="CL104" s="113"/>
      <c r="CM104" s="105"/>
      <c r="CN104" s="152"/>
      <c r="CO104" s="152"/>
      <c r="CP104" s="105"/>
      <c r="CQ104" s="113"/>
      <c r="CR104" s="152"/>
      <c r="CS104" s="112"/>
      <c r="CT104" s="113"/>
      <c r="CU104" s="105"/>
      <c r="CV104" s="146"/>
      <c r="CW104" s="105"/>
      <c r="CX104" s="105"/>
      <c r="CY104" s="112"/>
      <c r="CZ104" s="113"/>
      <c r="DA104" s="105"/>
      <c r="DB104" s="113"/>
      <c r="DC104" s="113"/>
      <c r="DD104" s="105"/>
      <c r="DE104" s="113"/>
      <c r="DF104" s="113"/>
      <c r="DG104" s="112"/>
      <c r="DH104" s="113"/>
      <c r="DI104" s="105"/>
      <c r="DJ104" s="146"/>
      <c r="DK104" s="105"/>
      <c r="DL104" s="105"/>
      <c r="DM104" s="112"/>
      <c r="DN104" s="113"/>
      <c r="DO104" s="105"/>
      <c r="DP104" s="113"/>
      <c r="DQ104" s="113"/>
      <c r="DR104" s="105"/>
      <c r="DS104" s="113"/>
      <c r="DT104" s="113"/>
      <c r="DU104" s="112"/>
      <c r="DV104" s="113"/>
      <c r="DW104" s="105"/>
      <c r="DX104" s="146"/>
      <c r="DY104" s="105"/>
      <c r="DZ104" s="105"/>
      <c r="EA104" s="112"/>
      <c r="EB104" s="113"/>
      <c r="EC104" s="105"/>
      <c r="ED104" s="113"/>
      <c r="EE104" s="113"/>
      <c r="EF104" s="105"/>
      <c r="EG104" s="113"/>
      <c r="EH104" s="113"/>
      <c r="EI104" s="112"/>
      <c r="EJ104" s="113"/>
      <c r="EK104" s="105"/>
      <c r="EL104" s="146"/>
      <c r="EM104" s="72" t="s">
        <v>115</v>
      </c>
      <c r="EN104" s="74">
        <v>2250</v>
      </c>
      <c r="EO104" s="73"/>
      <c r="EP104" s="72" t="s">
        <v>77</v>
      </c>
      <c r="EQ104" s="72"/>
      <c r="ER104" s="75"/>
      <c r="ES104" s="76"/>
      <c r="ET104" s="77">
        <v>1</v>
      </c>
      <c r="EU104" s="77"/>
      <c r="EV104" s="78"/>
      <c r="EW104" s="72"/>
      <c r="EX104" s="72"/>
      <c r="EY104" s="72" t="s">
        <v>100</v>
      </c>
      <c r="EZ104" s="72" t="s">
        <v>114</v>
      </c>
      <c r="FA104" s="72"/>
      <c r="FB104" s="78"/>
      <c r="FC104" s="78"/>
      <c r="FD104" s="146"/>
      <c r="FE104" s="78"/>
      <c r="FF104" s="78"/>
      <c r="FG104" s="78"/>
      <c r="FH104" s="78"/>
      <c r="FI104" s="78"/>
      <c r="FJ104" s="78"/>
      <c r="FK104" s="78"/>
      <c r="FL104" s="78"/>
      <c r="FM104" s="78"/>
      <c r="FN104" s="78"/>
      <c r="FO104" s="146"/>
      <c r="FP104" s="78"/>
      <c r="FQ104" s="78"/>
      <c r="FR104" s="78"/>
      <c r="FS104" s="78"/>
      <c r="FT104" s="78"/>
      <c r="FU104" s="78"/>
      <c r="FV104" s="78"/>
      <c r="FW104" s="78"/>
      <c r="FX104" s="78"/>
      <c r="FY104" s="78"/>
    </row>
    <row r="105" spans="1:181" s="71" customFormat="1" ht="16.350000000000001" customHeight="1" x14ac:dyDescent="0.25">
      <c r="A105" s="109"/>
      <c r="B105" s="70"/>
      <c r="C105" s="110"/>
      <c r="D105" s="110"/>
      <c r="E105" s="146"/>
      <c r="F105" s="109" t="str">
        <f>mehrsprachigkeitBegriffsrückgabe(gewählteSpracheZurückgeben(), "Product (foreign language)")</f>
        <v>Produkt (Fremdsprache)</v>
      </c>
      <c r="G105" s="111"/>
      <c r="H105" s="111" t="s">
        <v>239</v>
      </c>
      <c r="I105" s="111" t="s">
        <v>94</v>
      </c>
      <c r="J105" s="111" t="s">
        <v>462</v>
      </c>
      <c r="K105" s="111"/>
      <c r="L105" s="146"/>
      <c r="M105" s="149"/>
      <c r="N105" s="111"/>
      <c r="O105" s="111"/>
      <c r="P105" s="111"/>
      <c r="Q105" s="111"/>
      <c r="R105" s="111"/>
      <c r="S105" s="111"/>
      <c r="T105" s="111"/>
      <c r="U105" s="111"/>
      <c r="V105" s="111"/>
      <c r="W105" s="111"/>
      <c r="X105" s="111"/>
      <c r="Y105" s="111"/>
      <c r="Z105" s="111"/>
      <c r="AA105" s="111"/>
      <c r="AB105" s="111"/>
      <c r="AC105" s="111"/>
      <c r="AD105" s="111"/>
      <c r="AE105" s="111"/>
      <c r="AF105" s="111"/>
      <c r="AG105" s="111"/>
      <c r="AH105" s="111"/>
      <c r="AI105" s="111"/>
      <c r="AJ105" s="111"/>
      <c r="AK105" s="111"/>
      <c r="AL105" s="111"/>
      <c r="AM105" s="111"/>
      <c r="AN105" s="111"/>
      <c r="AO105" s="111"/>
      <c r="AP105" s="111"/>
      <c r="AQ105" s="111"/>
      <c r="AR105" s="111"/>
      <c r="AS105" s="111"/>
      <c r="AT105" s="111"/>
      <c r="AU105" s="111"/>
      <c r="AV105" s="111"/>
      <c r="AW105" s="111"/>
      <c r="AX105" s="111"/>
      <c r="AY105" s="111"/>
      <c r="AZ105" s="111"/>
      <c r="BA105" s="146"/>
      <c r="BB105" s="104" t="s">
        <v>99</v>
      </c>
      <c r="BC105" s="72" t="s">
        <v>95</v>
      </c>
      <c r="BD105" s="72"/>
      <c r="BE105" s="72"/>
      <c r="BF105" s="146"/>
      <c r="BG105" s="112"/>
      <c r="BH105" s="113"/>
      <c r="BI105" s="146"/>
      <c r="BJ105" s="105"/>
      <c r="BK105" s="113"/>
      <c r="BL105" s="113"/>
      <c r="BM105" s="105"/>
      <c r="BN105" s="113"/>
      <c r="BO105" s="113"/>
      <c r="BP105" s="146"/>
      <c r="BQ105" s="112" t="s">
        <v>113</v>
      </c>
      <c r="BR105" s="113"/>
      <c r="BS105" s="105"/>
      <c r="BT105" s="146"/>
      <c r="BU105" s="105"/>
      <c r="BV105" s="105"/>
      <c r="BW105" s="112"/>
      <c r="BX105" s="113"/>
      <c r="BY105" s="105"/>
      <c r="BZ105" s="113"/>
      <c r="CA105" s="113"/>
      <c r="CB105" s="105"/>
      <c r="CC105" s="113"/>
      <c r="CD105" s="113"/>
      <c r="CE105" s="112"/>
      <c r="CF105" s="113"/>
      <c r="CG105" s="105"/>
      <c r="CH105" s="146"/>
      <c r="CI105" s="105"/>
      <c r="CJ105" s="105"/>
      <c r="CK105" s="112"/>
      <c r="CL105" s="113"/>
      <c r="CM105" s="105"/>
      <c r="CN105" s="113"/>
      <c r="CO105" s="113"/>
      <c r="CP105" s="105"/>
      <c r="CQ105" s="113"/>
      <c r="CR105" s="113"/>
      <c r="CS105" s="112"/>
      <c r="CT105" s="113"/>
      <c r="CU105" s="105"/>
      <c r="CV105" s="146"/>
      <c r="CW105" s="105"/>
      <c r="CX105" s="105"/>
      <c r="CY105" s="112"/>
      <c r="CZ105" s="113"/>
      <c r="DA105" s="105"/>
      <c r="DB105" s="113"/>
      <c r="DC105" s="113"/>
      <c r="DD105" s="105"/>
      <c r="DE105" s="113"/>
      <c r="DF105" s="113"/>
      <c r="DG105" s="112"/>
      <c r="DH105" s="113"/>
      <c r="DI105" s="105"/>
      <c r="DJ105" s="146"/>
      <c r="DK105" s="105"/>
      <c r="DL105" s="105"/>
      <c r="DM105" s="112"/>
      <c r="DN105" s="113"/>
      <c r="DO105" s="105"/>
      <c r="DP105" s="113"/>
      <c r="DQ105" s="113"/>
      <c r="DR105" s="105"/>
      <c r="DS105" s="113"/>
      <c r="DT105" s="113"/>
      <c r="DU105" s="112"/>
      <c r="DV105" s="113"/>
      <c r="DW105" s="105"/>
      <c r="DX105" s="146"/>
      <c r="DY105" s="105"/>
      <c r="DZ105" s="105"/>
      <c r="EA105" s="112"/>
      <c r="EB105" s="113"/>
      <c r="EC105" s="105"/>
      <c r="ED105" s="113"/>
      <c r="EE105" s="113"/>
      <c r="EF105" s="105"/>
      <c r="EG105" s="113"/>
      <c r="EH105" s="113"/>
      <c r="EI105" s="112"/>
      <c r="EJ105" s="113"/>
      <c r="EK105" s="105"/>
      <c r="EL105" s="146"/>
      <c r="EM105" s="72"/>
      <c r="EN105" s="74"/>
      <c r="EO105" s="73"/>
      <c r="EP105" s="72" t="s">
        <v>96</v>
      </c>
      <c r="EQ105" s="72"/>
      <c r="ER105" s="75"/>
      <c r="ES105" s="76"/>
      <c r="ET105" s="77"/>
      <c r="EU105" s="77"/>
      <c r="EV105" s="78"/>
      <c r="EW105" s="72"/>
      <c r="EX105" s="72"/>
      <c r="EY105" s="72"/>
      <c r="EZ105" s="72"/>
      <c r="FA105" s="72"/>
      <c r="FB105" s="78"/>
      <c r="FC105" s="78"/>
      <c r="FD105" s="146"/>
      <c r="FE105" s="78"/>
      <c r="FF105" s="78"/>
      <c r="FG105" s="78"/>
      <c r="FO105" s="146"/>
      <c r="FP105" s="78"/>
      <c r="FQ105" s="78"/>
      <c r="FR105" s="78"/>
    </row>
    <row r="106" spans="1:181" s="71" customFormat="1" ht="16.350000000000001" customHeight="1" x14ac:dyDescent="0.25">
      <c r="A106" s="109"/>
      <c r="B106" s="70"/>
      <c r="C106" s="110"/>
      <c r="D106" s="110">
        <v>1</v>
      </c>
      <c r="E106" s="146"/>
      <c r="F106" s="109" t="str">
        <f>mehrsprachigkeitBegriffsrückgabe(gewählteSpracheZurückgeben(), "Product")</f>
        <v>Produkt</v>
      </c>
      <c r="G106" s="111" t="s">
        <v>240</v>
      </c>
      <c r="H106" s="111"/>
      <c r="I106" s="111" t="s">
        <v>86</v>
      </c>
      <c r="J106" s="111" t="s">
        <v>463</v>
      </c>
      <c r="K106" s="111"/>
      <c r="L106" s="146"/>
      <c r="M106" s="149" t="s">
        <v>392</v>
      </c>
      <c r="N106" s="111" t="s">
        <v>393</v>
      </c>
      <c r="O106" s="114" t="s">
        <v>392</v>
      </c>
      <c r="P106" s="114" t="s">
        <v>401</v>
      </c>
      <c r="Q106" s="111"/>
      <c r="R106" s="111"/>
      <c r="S106" s="111"/>
      <c r="T106" s="111"/>
      <c r="U106" s="111"/>
      <c r="V106" s="111"/>
      <c r="W106" s="111"/>
      <c r="X106" s="111"/>
      <c r="Y106" s="111"/>
      <c r="Z106" s="111"/>
      <c r="AA106" s="111"/>
      <c r="AB106" s="111"/>
      <c r="AC106" s="111"/>
      <c r="AD106" s="111"/>
      <c r="AE106" s="111"/>
      <c r="AF106" s="111"/>
      <c r="AG106" s="111"/>
      <c r="AH106" s="111"/>
      <c r="AI106" s="111"/>
      <c r="AJ106" s="111"/>
      <c r="AK106" s="111"/>
      <c r="AL106" s="111"/>
      <c r="AM106" s="111"/>
      <c r="AN106" s="111"/>
      <c r="AO106" s="111"/>
      <c r="AP106" s="111"/>
      <c r="AQ106" s="111"/>
      <c r="AR106" s="111"/>
      <c r="AS106" s="111"/>
      <c r="AT106" s="111"/>
      <c r="AU106" s="111"/>
      <c r="AV106" s="111"/>
      <c r="AW106" s="111"/>
      <c r="AX106" s="111"/>
      <c r="AY106" s="111"/>
      <c r="AZ106" s="111"/>
      <c r="BA106" s="146"/>
      <c r="BB106" s="104" t="s">
        <v>98</v>
      </c>
      <c r="BC106" s="72" t="s">
        <v>93</v>
      </c>
      <c r="BD106" s="72" t="s">
        <v>509</v>
      </c>
      <c r="BE106" s="72" t="s">
        <v>415</v>
      </c>
      <c r="BF106" s="146"/>
      <c r="BG106" s="112"/>
      <c r="BH106" s="113"/>
      <c r="BI106" s="146"/>
      <c r="BJ106" s="105"/>
      <c r="BK106" s="113"/>
      <c r="BL106" s="113"/>
      <c r="BM106" s="105"/>
      <c r="BN106" s="113"/>
      <c r="BO106" s="152"/>
      <c r="BP106" s="146"/>
      <c r="BQ106" s="112">
        <v>79.900000000000006</v>
      </c>
      <c r="BR106" s="113"/>
      <c r="BS106" s="105">
        <v>1</v>
      </c>
      <c r="BT106" s="146"/>
      <c r="BU106" s="105"/>
      <c r="BV106" s="105"/>
      <c r="BW106" s="112"/>
      <c r="BX106" s="113"/>
      <c r="BY106" s="105"/>
      <c r="BZ106" s="113"/>
      <c r="CA106" s="113"/>
      <c r="CB106" s="105"/>
      <c r="CC106" s="113"/>
      <c r="CD106" s="152"/>
      <c r="CE106" s="112"/>
      <c r="CF106" s="113"/>
      <c r="CG106" s="105"/>
      <c r="CH106" s="146"/>
      <c r="CI106" s="105"/>
      <c r="CJ106" s="105"/>
      <c r="CK106" s="112"/>
      <c r="CL106" s="113"/>
      <c r="CM106" s="105"/>
      <c r="CN106" s="152"/>
      <c r="CO106" s="152"/>
      <c r="CP106" s="105"/>
      <c r="CQ106" s="113"/>
      <c r="CR106" s="152"/>
      <c r="CS106" s="112"/>
      <c r="CT106" s="113"/>
      <c r="CU106" s="105"/>
      <c r="CV106" s="146"/>
      <c r="CW106" s="105"/>
      <c r="CX106" s="105"/>
      <c r="CY106" s="112"/>
      <c r="CZ106" s="113"/>
      <c r="DA106" s="105"/>
      <c r="DB106" s="113"/>
      <c r="DC106" s="113"/>
      <c r="DD106" s="105"/>
      <c r="DE106" s="113"/>
      <c r="DF106" s="113"/>
      <c r="DG106" s="112"/>
      <c r="DH106" s="113"/>
      <c r="DI106" s="105"/>
      <c r="DJ106" s="146"/>
      <c r="DK106" s="105"/>
      <c r="DL106" s="105"/>
      <c r="DM106" s="112"/>
      <c r="DN106" s="113"/>
      <c r="DO106" s="105"/>
      <c r="DP106" s="113"/>
      <c r="DQ106" s="113"/>
      <c r="DR106" s="105"/>
      <c r="DS106" s="113"/>
      <c r="DT106" s="113"/>
      <c r="DU106" s="112"/>
      <c r="DV106" s="113"/>
      <c r="DW106" s="105"/>
      <c r="DX106" s="146"/>
      <c r="DY106" s="105"/>
      <c r="DZ106" s="105"/>
      <c r="EA106" s="112"/>
      <c r="EB106" s="113"/>
      <c r="EC106" s="105"/>
      <c r="ED106" s="113"/>
      <c r="EE106" s="113"/>
      <c r="EF106" s="105"/>
      <c r="EG106" s="113"/>
      <c r="EH106" s="113"/>
      <c r="EI106" s="112"/>
      <c r="EJ106" s="113"/>
      <c r="EK106" s="105"/>
      <c r="EL106" s="146"/>
      <c r="EM106" s="72" t="s">
        <v>115</v>
      </c>
      <c r="EN106" s="74">
        <v>2250</v>
      </c>
      <c r="EO106" s="73"/>
      <c r="EP106" s="72" t="s">
        <v>77</v>
      </c>
      <c r="EQ106" s="72"/>
      <c r="ER106" s="75"/>
      <c r="ES106" s="76"/>
      <c r="ET106" s="77"/>
      <c r="EU106" s="77">
        <v>1</v>
      </c>
      <c r="EV106" s="78"/>
      <c r="EW106" s="72"/>
      <c r="EX106" s="72"/>
      <c r="EY106" s="72" t="s">
        <v>100</v>
      </c>
      <c r="EZ106" s="72" t="s">
        <v>114</v>
      </c>
      <c r="FA106" s="72"/>
      <c r="FB106" s="78"/>
      <c r="FC106" s="78"/>
      <c r="FD106" s="146"/>
      <c r="FE106" s="78"/>
      <c r="FF106" s="78"/>
      <c r="FG106" s="78"/>
      <c r="FH106" s="78"/>
      <c r="FI106" s="78"/>
      <c r="FJ106" s="78"/>
      <c r="FK106" s="78"/>
      <c r="FL106" s="78"/>
      <c r="FM106" s="78"/>
      <c r="FN106" s="78"/>
      <c r="FO106" s="146"/>
      <c r="FP106" s="78"/>
      <c r="FQ106" s="78"/>
      <c r="FR106" s="78"/>
      <c r="FS106" s="78"/>
      <c r="FT106" s="78"/>
      <c r="FU106" s="78"/>
      <c r="FV106" s="78"/>
      <c r="FW106" s="78"/>
      <c r="FX106" s="78"/>
      <c r="FY106" s="78"/>
    </row>
    <row r="107" spans="1:181" s="71" customFormat="1" ht="16.350000000000001" customHeight="1" x14ac:dyDescent="0.25">
      <c r="A107" s="109"/>
      <c r="B107" s="70"/>
      <c r="C107" s="110"/>
      <c r="D107" s="110"/>
      <c r="E107" s="146"/>
      <c r="F107" s="109" t="str">
        <f>mehrsprachigkeitBegriffsrückgabe(gewählteSpracheZurückgeben(), "Product (foreign language)")</f>
        <v>Produkt (Fremdsprache)</v>
      </c>
      <c r="G107" s="111"/>
      <c r="H107" s="111" t="s">
        <v>240</v>
      </c>
      <c r="I107" s="111" t="s">
        <v>94</v>
      </c>
      <c r="J107" s="111" t="s">
        <v>464</v>
      </c>
      <c r="K107" s="111"/>
      <c r="L107" s="146"/>
      <c r="M107" s="149"/>
      <c r="N107" s="111"/>
      <c r="O107" s="111"/>
      <c r="P107" s="111"/>
      <c r="Q107" s="111"/>
      <c r="R107" s="111"/>
      <c r="S107" s="111"/>
      <c r="T107" s="111"/>
      <c r="U107" s="111"/>
      <c r="V107" s="111"/>
      <c r="W107" s="111"/>
      <c r="X107" s="111"/>
      <c r="Y107" s="111"/>
      <c r="Z107" s="111"/>
      <c r="AA107" s="111"/>
      <c r="AB107" s="111"/>
      <c r="AC107" s="111"/>
      <c r="AD107" s="111"/>
      <c r="AE107" s="111"/>
      <c r="AF107" s="111"/>
      <c r="AG107" s="111"/>
      <c r="AH107" s="111"/>
      <c r="AI107" s="111"/>
      <c r="AJ107" s="111"/>
      <c r="AK107" s="111"/>
      <c r="AL107" s="111"/>
      <c r="AM107" s="111"/>
      <c r="AN107" s="111"/>
      <c r="AO107" s="111"/>
      <c r="AP107" s="111"/>
      <c r="AQ107" s="111"/>
      <c r="AR107" s="111"/>
      <c r="AS107" s="111"/>
      <c r="AT107" s="111"/>
      <c r="AU107" s="111"/>
      <c r="AV107" s="111"/>
      <c r="AW107" s="111"/>
      <c r="AX107" s="111"/>
      <c r="AY107" s="111"/>
      <c r="AZ107" s="111"/>
      <c r="BA107" s="146"/>
      <c r="BB107" s="104" t="s">
        <v>99</v>
      </c>
      <c r="BC107" s="72" t="s">
        <v>95</v>
      </c>
      <c r="BD107" s="72"/>
      <c r="BE107" s="72"/>
      <c r="BF107" s="146"/>
      <c r="BG107" s="112"/>
      <c r="BH107" s="113"/>
      <c r="BI107" s="146"/>
      <c r="BJ107" s="105"/>
      <c r="BK107" s="113"/>
      <c r="BL107" s="113"/>
      <c r="BM107" s="105"/>
      <c r="BN107" s="113"/>
      <c r="BO107" s="113"/>
      <c r="BP107" s="146"/>
      <c r="BQ107" s="112" t="s">
        <v>113</v>
      </c>
      <c r="BR107" s="113"/>
      <c r="BS107" s="105"/>
      <c r="BT107" s="146"/>
      <c r="BU107" s="105"/>
      <c r="BV107" s="105"/>
      <c r="BW107" s="112"/>
      <c r="BX107" s="113"/>
      <c r="BY107" s="105"/>
      <c r="BZ107" s="113"/>
      <c r="CA107" s="113"/>
      <c r="CB107" s="105"/>
      <c r="CC107" s="113"/>
      <c r="CD107" s="113"/>
      <c r="CE107" s="112"/>
      <c r="CF107" s="113"/>
      <c r="CG107" s="105"/>
      <c r="CH107" s="146"/>
      <c r="CI107" s="105"/>
      <c r="CJ107" s="105"/>
      <c r="CK107" s="112"/>
      <c r="CL107" s="113"/>
      <c r="CM107" s="105"/>
      <c r="CN107" s="113"/>
      <c r="CO107" s="113"/>
      <c r="CP107" s="105"/>
      <c r="CQ107" s="113"/>
      <c r="CR107" s="113"/>
      <c r="CS107" s="112"/>
      <c r="CT107" s="113"/>
      <c r="CU107" s="105"/>
      <c r="CV107" s="146"/>
      <c r="CW107" s="105"/>
      <c r="CX107" s="105"/>
      <c r="CY107" s="112"/>
      <c r="CZ107" s="113"/>
      <c r="DA107" s="105"/>
      <c r="DB107" s="113"/>
      <c r="DC107" s="113"/>
      <c r="DD107" s="105"/>
      <c r="DE107" s="113"/>
      <c r="DF107" s="113"/>
      <c r="DG107" s="112"/>
      <c r="DH107" s="113"/>
      <c r="DI107" s="105"/>
      <c r="DJ107" s="146"/>
      <c r="DK107" s="105"/>
      <c r="DL107" s="105"/>
      <c r="DM107" s="112"/>
      <c r="DN107" s="113"/>
      <c r="DO107" s="105"/>
      <c r="DP107" s="113"/>
      <c r="DQ107" s="113"/>
      <c r="DR107" s="105"/>
      <c r="DS107" s="113"/>
      <c r="DT107" s="113"/>
      <c r="DU107" s="112"/>
      <c r="DV107" s="113"/>
      <c r="DW107" s="105"/>
      <c r="DX107" s="146"/>
      <c r="DY107" s="105"/>
      <c r="DZ107" s="105"/>
      <c r="EA107" s="112"/>
      <c r="EB107" s="113"/>
      <c r="EC107" s="105"/>
      <c r="ED107" s="113"/>
      <c r="EE107" s="113"/>
      <c r="EF107" s="105"/>
      <c r="EG107" s="113"/>
      <c r="EH107" s="113"/>
      <c r="EI107" s="112"/>
      <c r="EJ107" s="113"/>
      <c r="EK107" s="105"/>
      <c r="EL107" s="146"/>
      <c r="EM107" s="72"/>
      <c r="EN107" s="74"/>
      <c r="EO107" s="73"/>
      <c r="EP107" s="72" t="s">
        <v>96</v>
      </c>
      <c r="EQ107" s="72"/>
      <c r="ER107" s="75"/>
      <c r="ES107" s="76"/>
      <c r="ET107" s="77"/>
      <c r="EU107" s="77"/>
      <c r="EV107" s="78"/>
      <c r="EW107" s="72"/>
      <c r="EX107" s="72"/>
      <c r="EY107" s="72"/>
      <c r="EZ107" s="72"/>
      <c r="FA107" s="72"/>
      <c r="FB107" s="78"/>
      <c r="FC107" s="78"/>
      <c r="FD107" s="146"/>
      <c r="FE107" s="78"/>
      <c r="FF107" s="78"/>
      <c r="FG107" s="78"/>
      <c r="FO107" s="146"/>
      <c r="FP107" s="78"/>
      <c r="FQ107" s="78"/>
      <c r="FR107" s="78"/>
    </row>
    <row r="108" spans="1:181" s="71" customFormat="1" ht="16.350000000000001" customHeight="1" x14ac:dyDescent="0.25">
      <c r="A108" s="109"/>
      <c r="B108" s="70"/>
      <c r="C108" s="110"/>
      <c r="D108" s="110">
        <v>1</v>
      </c>
      <c r="E108" s="146"/>
      <c r="F108" s="109" t="str">
        <f>mehrsprachigkeitBegriffsrückgabe(gewählteSpracheZurückgeben(), "Product")</f>
        <v>Produkt</v>
      </c>
      <c r="G108" s="111" t="s">
        <v>241</v>
      </c>
      <c r="H108" s="111"/>
      <c r="I108" s="111" t="s">
        <v>86</v>
      </c>
      <c r="J108" s="111" t="s">
        <v>465</v>
      </c>
      <c r="K108" s="111"/>
      <c r="L108" s="146"/>
      <c r="M108" s="149" t="s">
        <v>392</v>
      </c>
      <c r="N108" s="111" t="s">
        <v>394</v>
      </c>
      <c r="O108" s="114"/>
      <c r="P108" s="114"/>
      <c r="Q108" s="111"/>
      <c r="R108" s="111"/>
      <c r="S108" s="111"/>
      <c r="T108" s="111"/>
      <c r="U108" s="111"/>
      <c r="V108" s="111"/>
      <c r="W108" s="111"/>
      <c r="X108" s="111"/>
      <c r="Y108" s="111"/>
      <c r="Z108" s="111"/>
      <c r="AA108" s="111"/>
      <c r="AB108" s="111"/>
      <c r="AC108" s="111"/>
      <c r="AD108" s="111"/>
      <c r="AE108" s="111"/>
      <c r="AF108" s="111"/>
      <c r="AG108" s="111"/>
      <c r="AH108" s="111"/>
      <c r="AI108" s="111"/>
      <c r="AJ108" s="111"/>
      <c r="AK108" s="111"/>
      <c r="AL108" s="111"/>
      <c r="AM108" s="111"/>
      <c r="AN108" s="111"/>
      <c r="AO108" s="111"/>
      <c r="AP108" s="111"/>
      <c r="AQ108" s="111"/>
      <c r="AR108" s="111"/>
      <c r="AS108" s="111"/>
      <c r="AT108" s="111"/>
      <c r="AU108" s="111"/>
      <c r="AV108" s="111"/>
      <c r="AW108" s="111"/>
      <c r="AX108" s="111"/>
      <c r="AY108" s="111"/>
      <c r="AZ108" s="111"/>
      <c r="BA108" s="146"/>
      <c r="BB108" s="104" t="s">
        <v>98</v>
      </c>
      <c r="BC108" s="72" t="s">
        <v>93</v>
      </c>
      <c r="BD108" s="72" t="s">
        <v>509</v>
      </c>
      <c r="BE108" s="72" t="s">
        <v>416</v>
      </c>
      <c r="BF108" s="146"/>
      <c r="BG108" s="112"/>
      <c r="BH108" s="113"/>
      <c r="BI108" s="146"/>
      <c r="BJ108" s="105"/>
      <c r="BK108" s="113"/>
      <c r="BL108" s="113"/>
      <c r="BM108" s="105"/>
      <c r="BN108" s="113"/>
      <c r="BO108" s="152"/>
      <c r="BP108" s="146"/>
      <c r="BQ108" s="112" t="s">
        <v>113</v>
      </c>
      <c r="BR108" s="113"/>
      <c r="BS108" s="105"/>
      <c r="BT108" s="146"/>
      <c r="BU108" s="105"/>
      <c r="BV108" s="105"/>
      <c r="BW108" s="112"/>
      <c r="BX108" s="113"/>
      <c r="BY108" s="105"/>
      <c r="BZ108" s="113"/>
      <c r="CA108" s="113"/>
      <c r="CB108" s="105"/>
      <c r="CC108" s="113"/>
      <c r="CD108" s="152"/>
      <c r="CE108" s="112"/>
      <c r="CF108" s="113"/>
      <c r="CG108" s="105"/>
      <c r="CH108" s="146"/>
      <c r="CI108" s="105"/>
      <c r="CJ108" s="105"/>
      <c r="CK108" s="112"/>
      <c r="CL108" s="113"/>
      <c r="CM108" s="105"/>
      <c r="CN108" s="152"/>
      <c r="CO108" s="152"/>
      <c r="CP108" s="105"/>
      <c r="CQ108" s="113"/>
      <c r="CR108" s="152"/>
      <c r="CS108" s="112"/>
      <c r="CT108" s="113"/>
      <c r="CU108" s="105"/>
      <c r="CV108" s="146"/>
      <c r="CW108" s="105"/>
      <c r="CX108" s="105"/>
      <c r="CY108" s="112"/>
      <c r="CZ108" s="113"/>
      <c r="DA108" s="105"/>
      <c r="DB108" s="113"/>
      <c r="DC108" s="113"/>
      <c r="DD108" s="105"/>
      <c r="DE108" s="113"/>
      <c r="DF108" s="113"/>
      <c r="DG108" s="112"/>
      <c r="DH108" s="113"/>
      <c r="DI108" s="105"/>
      <c r="DJ108" s="146"/>
      <c r="DK108" s="105"/>
      <c r="DL108" s="105"/>
      <c r="DM108" s="112"/>
      <c r="DN108" s="113"/>
      <c r="DO108" s="105"/>
      <c r="DP108" s="113"/>
      <c r="DQ108" s="113"/>
      <c r="DR108" s="105"/>
      <c r="DS108" s="113"/>
      <c r="DT108" s="113"/>
      <c r="DU108" s="112"/>
      <c r="DV108" s="113"/>
      <c r="DW108" s="105"/>
      <c r="DX108" s="146"/>
      <c r="DY108" s="105"/>
      <c r="DZ108" s="105"/>
      <c r="EA108" s="112"/>
      <c r="EB108" s="113"/>
      <c r="EC108" s="105"/>
      <c r="ED108" s="113"/>
      <c r="EE108" s="113"/>
      <c r="EF108" s="105"/>
      <c r="EG108" s="113"/>
      <c r="EH108" s="113"/>
      <c r="EI108" s="112"/>
      <c r="EJ108" s="113"/>
      <c r="EK108" s="105"/>
      <c r="EL108" s="146"/>
      <c r="EM108" s="72" t="s">
        <v>115</v>
      </c>
      <c r="EN108" s="74">
        <v>2250</v>
      </c>
      <c r="EO108" s="73"/>
      <c r="EP108" s="72" t="s">
        <v>77</v>
      </c>
      <c r="EQ108" s="72"/>
      <c r="ER108" s="75"/>
      <c r="ES108" s="76"/>
      <c r="ET108" s="77">
        <v>1</v>
      </c>
      <c r="EU108" s="77"/>
      <c r="EV108" s="78"/>
      <c r="EW108" s="72"/>
      <c r="EX108" s="72"/>
      <c r="EY108" s="72" t="s">
        <v>100</v>
      </c>
      <c r="EZ108" s="72" t="s">
        <v>114</v>
      </c>
      <c r="FA108" s="72"/>
      <c r="FB108" s="78"/>
      <c r="FC108" s="78"/>
      <c r="FD108" s="146"/>
      <c r="FE108" s="78"/>
      <c r="FF108" s="78"/>
      <c r="FG108" s="78"/>
      <c r="FH108" s="78"/>
      <c r="FI108" s="78"/>
      <c r="FJ108" s="78"/>
      <c r="FK108" s="78"/>
      <c r="FL108" s="78"/>
      <c r="FM108" s="78"/>
      <c r="FN108" s="78"/>
      <c r="FO108" s="146"/>
      <c r="FP108" s="78"/>
      <c r="FQ108" s="78"/>
      <c r="FR108" s="78"/>
      <c r="FS108" s="78"/>
      <c r="FT108" s="78"/>
      <c r="FU108" s="78"/>
      <c r="FV108" s="78"/>
      <c r="FW108" s="78"/>
      <c r="FX108" s="78"/>
      <c r="FY108" s="78"/>
    </row>
    <row r="109" spans="1:181" s="71" customFormat="1" ht="16.350000000000001" customHeight="1" x14ac:dyDescent="0.25">
      <c r="A109" s="109"/>
      <c r="B109" s="70"/>
      <c r="C109" s="110"/>
      <c r="D109" s="110"/>
      <c r="E109" s="146"/>
      <c r="F109" s="109" t="str">
        <f>mehrsprachigkeitBegriffsrückgabe(gewählteSpracheZurückgeben(), "Product (foreign language)")</f>
        <v>Produkt (Fremdsprache)</v>
      </c>
      <c r="G109" s="111"/>
      <c r="H109" s="111" t="s">
        <v>241</v>
      </c>
      <c r="I109" s="111" t="s">
        <v>94</v>
      </c>
      <c r="J109" s="111" t="s">
        <v>466</v>
      </c>
      <c r="K109" s="111"/>
      <c r="L109" s="146"/>
      <c r="M109" s="149"/>
      <c r="N109" s="111"/>
      <c r="O109" s="111"/>
      <c r="P109" s="111"/>
      <c r="Q109" s="111"/>
      <c r="R109" s="111"/>
      <c r="S109" s="111"/>
      <c r="T109" s="111"/>
      <c r="U109" s="111"/>
      <c r="V109" s="111"/>
      <c r="W109" s="111"/>
      <c r="X109" s="111"/>
      <c r="Y109" s="111"/>
      <c r="Z109" s="111"/>
      <c r="AA109" s="111"/>
      <c r="AB109" s="111"/>
      <c r="AC109" s="111"/>
      <c r="AD109" s="111"/>
      <c r="AE109" s="111"/>
      <c r="AF109" s="111"/>
      <c r="AG109" s="111"/>
      <c r="AH109" s="111"/>
      <c r="AI109" s="111"/>
      <c r="AJ109" s="111"/>
      <c r="AK109" s="111"/>
      <c r="AL109" s="111"/>
      <c r="AM109" s="111"/>
      <c r="AN109" s="111"/>
      <c r="AO109" s="111"/>
      <c r="AP109" s="111"/>
      <c r="AQ109" s="111"/>
      <c r="AR109" s="111"/>
      <c r="AS109" s="111"/>
      <c r="AT109" s="111"/>
      <c r="AU109" s="111"/>
      <c r="AV109" s="111"/>
      <c r="AW109" s="111"/>
      <c r="AX109" s="111"/>
      <c r="AY109" s="111"/>
      <c r="AZ109" s="111"/>
      <c r="BA109" s="146"/>
      <c r="BB109" s="104" t="s">
        <v>99</v>
      </c>
      <c r="BC109" s="72" t="s">
        <v>95</v>
      </c>
      <c r="BD109" s="72"/>
      <c r="BE109" s="72"/>
      <c r="BF109" s="146"/>
      <c r="BG109" s="112"/>
      <c r="BH109" s="113"/>
      <c r="BI109" s="146"/>
      <c r="BJ109" s="105"/>
      <c r="BK109" s="113"/>
      <c r="BL109" s="113"/>
      <c r="BM109" s="105"/>
      <c r="BN109" s="113"/>
      <c r="BO109" s="113"/>
      <c r="BP109" s="146"/>
      <c r="BQ109" s="112" t="s">
        <v>113</v>
      </c>
      <c r="BR109" s="113"/>
      <c r="BS109" s="105"/>
      <c r="BT109" s="146"/>
      <c r="BU109" s="105"/>
      <c r="BV109" s="105"/>
      <c r="BW109" s="112"/>
      <c r="BX109" s="113"/>
      <c r="BY109" s="105"/>
      <c r="BZ109" s="113"/>
      <c r="CA109" s="113"/>
      <c r="CB109" s="105"/>
      <c r="CC109" s="113"/>
      <c r="CD109" s="113"/>
      <c r="CE109" s="112"/>
      <c r="CF109" s="113"/>
      <c r="CG109" s="105"/>
      <c r="CH109" s="146"/>
      <c r="CI109" s="105"/>
      <c r="CJ109" s="105"/>
      <c r="CK109" s="112"/>
      <c r="CL109" s="113"/>
      <c r="CM109" s="105"/>
      <c r="CN109" s="113"/>
      <c r="CO109" s="113"/>
      <c r="CP109" s="105"/>
      <c r="CQ109" s="113"/>
      <c r="CR109" s="113"/>
      <c r="CS109" s="112"/>
      <c r="CT109" s="113"/>
      <c r="CU109" s="105"/>
      <c r="CV109" s="146"/>
      <c r="CW109" s="105"/>
      <c r="CX109" s="105"/>
      <c r="CY109" s="112"/>
      <c r="CZ109" s="113"/>
      <c r="DA109" s="105"/>
      <c r="DB109" s="113"/>
      <c r="DC109" s="113"/>
      <c r="DD109" s="105"/>
      <c r="DE109" s="113"/>
      <c r="DF109" s="113"/>
      <c r="DG109" s="112"/>
      <c r="DH109" s="113"/>
      <c r="DI109" s="105"/>
      <c r="DJ109" s="146"/>
      <c r="DK109" s="105"/>
      <c r="DL109" s="105"/>
      <c r="DM109" s="112"/>
      <c r="DN109" s="113"/>
      <c r="DO109" s="105"/>
      <c r="DP109" s="113"/>
      <c r="DQ109" s="113"/>
      <c r="DR109" s="105"/>
      <c r="DS109" s="113"/>
      <c r="DT109" s="113"/>
      <c r="DU109" s="112"/>
      <c r="DV109" s="113"/>
      <c r="DW109" s="105"/>
      <c r="DX109" s="146"/>
      <c r="DY109" s="105"/>
      <c r="DZ109" s="105"/>
      <c r="EA109" s="112"/>
      <c r="EB109" s="113"/>
      <c r="EC109" s="105"/>
      <c r="ED109" s="113"/>
      <c r="EE109" s="113"/>
      <c r="EF109" s="105"/>
      <c r="EG109" s="113"/>
      <c r="EH109" s="113"/>
      <c r="EI109" s="112"/>
      <c r="EJ109" s="113"/>
      <c r="EK109" s="105"/>
      <c r="EL109" s="146"/>
      <c r="EM109" s="72"/>
      <c r="EN109" s="74"/>
      <c r="EO109" s="73"/>
      <c r="EP109" s="72" t="s">
        <v>96</v>
      </c>
      <c r="EQ109" s="72"/>
      <c r="ER109" s="75"/>
      <c r="ES109" s="76"/>
      <c r="ET109" s="77"/>
      <c r="EU109" s="77"/>
      <c r="EV109" s="78"/>
      <c r="EW109" s="72"/>
      <c r="EX109" s="72"/>
      <c r="EY109" s="72"/>
      <c r="EZ109" s="72"/>
      <c r="FA109" s="72"/>
      <c r="FB109" s="78"/>
      <c r="FC109" s="78"/>
      <c r="FD109" s="146"/>
      <c r="FE109" s="78"/>
      <c r="FF109" s="78"/>
      <c r="FG109" s="78"/>
      <c r="FO109" s="146"/>
      <c r="FP109" s="78"/>
      <c r="FQ109" s="78"/>
      <c r="FR109" s="78"/>
    </row>
    <row r="110" spans="1:181" s="71" customFormat="1" ht="16.350000000000001" customHeight="1" x14ac:dyDescent="0.25">
      <c r="A110" s="109"/>
      <c r="B110" s="70"/>
      <c r="C110" s="110"/>
      <c r="D110" s="110">
        <v>1</v>
      </c>
      <c r="E110" s="146"/>
      <c r="F110" s="109" t="str">
        <f>mehrsprachigkeitBegriffsrückgabe(gewählteSpracheZurückgeben(), "Product")</f>
        <v>Produkt</v>
      </c>
      <c r="G110" s="111" t="s">
        <v>242</v>
      </c>
      <c r="H110" s="111"/>
      <c r="I110" s="111" t="s">
        <v>86</v>
      </c>
      <c r="J110" s="111" t="s">
        <v>467</v>
      </c>
      <c r="K110" s="111"/>
      <c r="L110" s="146"/>
      <c r="M110" s="149" t="s">
        <v>392</v>
      </c>
      <c r="N110" s="111" t="s">
        <v>397</v>
      </c>
      <c r="O110" s="114"/>
      <c r="P110" s="114" t="s">
        <v>113</v>
      </c>
      <c r="Q110" s="111"/>
      <c r="R110" s="111"/>
      <c r="S110" s="111"/>
      <c r="T110" s="111"/>
      <c r="U110" s="111"/>
      <c r="V110" s="111"/>
      <c r="W110" s="111"/>
      <c r="X110" s="111"/>
      <c r="Y110" s="111"/>
      <c r="Z110" s="111"/>
      <c r="AA110" s="111"/>
      <c r="AB110" s="111"/>
      <c r="AC110" s="111"/>
      <c r="AD110" s="111"/>
      <c r="AE110" s="111"/>
      <c r="AF110" s="111"/>
      <c r="AG110" s="111"/>
      <c r="AH110" s="111"/>
      <c r="AI110" s="111"/>
      <c r="AJ110" s="111"/>
      <c r="AK110" s="111"/>
      <c r="AL110" s="111"/>
      <c r="AM110" s="111"/>
      <c r="AN110" s="111"/>
      <c r="AO110" s="111"/>
      <c r="AP110" s="111"/>
      <c r="AQ110" s="111"/>
      <c r="AR110" s="111"/>
      <c r="AS110" s="111"/>
      <c r="AT110" s="111"/>
      <c r="AU110" s="111"/>
      <c r="AV110" s="111"/>
      <c r="AW110" s="111"/>
      <c r="AX110" s="111"/>
      <c r="AY110" s="111"/>
      <c r="AZ110" s="111"/>
      <c r="BA110" s="146"/>
      <c r="BB110" s="104" t="s">
        <v>98</v>
      </c>
      <c r="BC110" s="72" t="s">
        <v>93</v>
      </c>
      <c r="BD110" s="72" t="s">
        <v>509</v>
      </c>
      <c r="BE110" s="72" t="s">
        <v>417</v>
      </c>
      <c r="BF110" s="146"/>
      <c r="BG110" s="112"/>
      <c r="BH110" s="113"/>
      <c r="BI110" s="146"/>
      <c r="BJ110" s="105"/>
      <c r="BK110" s="113"/>
      <c r="BL110" s="113"/>
      <c r="BM110" s="105"/>
      <c r="BN110" s="113"/>
      <c r="BO110" s="152"/>
      <c r="BP110" s="146"/>
      <c r="BQ110" s="112" t="s">
        <v>113</v>
      </c>
      <c r="BR110" s="113"/>
      <c r="BS110" s="105"/>
      <c r="BT110" s="146"/>
      <c r="BU110" s="105"/>
      <c r="BV110" s="105"/>
      <c r="BW110" s="112"/>
      <c r="BX110" s="113"/>
      <c r="BY110" s="105"/>
      <c r="BZ110" s="113"/>
      <c r="CA110" s="113"/>
      <c r="CB110" s="105"/>
      <c r="CC110" s="113"/>
      <c r="CD110" s="152"/>
      <c r="CE110" s="112"/>
      <c r="CF110" s="113"/>
      <c r="CG110" s="105"/>
      <c r="CH110" s="146"/>
      <c r="CI110" s="105"/>
      <c r="CJ110" s="105"/>
      <c r="CK110" s="112"/>
      <c r="CL110" s="113"/>
      <c r="CM110" s="105"/>
      <c r="CN110" s="152"/>
      <c r="CO110" s="152"/>
      <c r="CP110" s="105"/>
      <c r="CQ110" s="113"/>
      <c r="CR110" s="152"/>
      <c r="CS110" s="112"/>
      <c r="CT110" s="113"/>
      <c r="CU110" s="105"/>
      <c r="CV110" s="146"/>
      <c r="CW110" s="105"/>
      <c r="CX110" s="105"/>
      <c r="CY110" s="112"/>
      <c r="CZ110" s="113"/>
      <c r="DA110" s="105"/>
      <c r="DB110" s="113"/>
      <c r="DC110" s="113"/>
      <c r="DD110" s="105"/>
      <c r="DE110" s="113"/>
      <c r="DF110" s="113"/>
      <c r="DG110" s="112"/>
      <c r="DH110" s="113"/>
      <c r="DI110" s="105"/>
      <c r="DJ110" s="146"/>
      <c r="DK110" s="105"/>
      <c r="DL110" s="105"/>
      <c r="DM110" s="112"/>
      <c r="DN110" s="113"/>
      <c r="DO110" s="105"/>
      <c r="DP110" s="113"/>
      <c r="DQ110" s="113"/>
      <c r="DR110" s="105"/>
      <c r="DS110" s="113"/>
      <c r="DT110" s="113"/>
      <c r="DU110" s="112"/>
      <c r="DV110" s="113"/>
      <c r="DW110" s="105"/>
      <c r="DX110" s="146"/>
      <c r="DY110" s="105"/>
      <c r="DZ110" s="105"/>
      <c r="EA110" s="112"/>
      <c r="EB110" s="113"/>
      <c r="EC110" s="105"/>
      <c r="ED110" s="113"/>
      <c r="EE110" s="113"/>
      <c r="EF110" s="105"/>
      <c r="EG110" s="113"/>
      <c r="EH110" s="113"/>
      <c r="EI110" s="112"/>
      <c r="EJ110" s="113"/>
      <c r="EK110" s="105"/>
      <c r="EL110" s="146"/>
      <c r="EM110" s="72" t="s">
        <v>115</v>
      </c>
      <c r="EN110" s="74">
        <v>2250</v>
      </c>
      <c r="EO110" s="73"/>
      <c r="EP110" s="72" t="s">
        <v>77</v>
      </c>
      <c r="EQ110" s="72"/>
      <c r="ER110" s="75"/>
      <c r="ES110" s="76"/>
      <c r="ET110" s="77">
        <v>1</v>
      </c>
      <c r="EU110" s="77"/>
      <c r="EV110" s="78"/>
      <c r="EW110" s="72"/>
      <c r="EX110" s="72"/>
      <c r="EY110" s="72" t="s">
        <v>100</v>
      </c>
      <c r="EZ110" s="72" t="s">
        <v>114</v>
      </c>
      <c r="FA110" s="72"/>
      <c r="FB110" s="78"/>
      <c r="FC110" s="78"/>
      <c r="FD110" s="146"/>
      <c r="FE110" s="78"/>
      <c r="FF110" s="78"/>
      <c r="FG110" s="78"/>
      <c r="FH110" s="78"/>
      <c r="FI110" s="78"/>
      <c r="FJ110" s="78"/>
      <c r="FK110" s="78"/>
      <c r="FL110" s="78"/>
      <c r="FM110" s="78"/>
      <c r="FN110" s="78"/>
      <c r="FO110" s="146"/>
      <c r="FP110" s="78"/>
      <c r="FQ110" s="78"/>
      <c r="FR110" s="78"/>
      <c r="FS110" s="78"/>
      <c r="FT110" s="78"/>
      <c r="FU110" s="78"/>
      <c r="FV110" s="78"/>
      <c r="FW110" s="78"/>
      <c r="FX110" s="78"/>
      <c r="FY110" s="78"/>
    </row>
    <row r="111" spans="1:181" s="71" customFormat="1" ht="16.350000000000001" customHeight="1" x14ac:dyDescent="0.25">
      <c r="A111" s="109"/>
      <c r="B111" s="70"/>
      <c r="C111" s="110"/>
      <c r="D111" s="110"/>
      <c r="E111" s="146"/>
      <c r="F111" s="109" t="str">
        <f>mehrsprachigkeitBegriffsrückgabe(gewählteSpracheZurückgeben(), "Product (foreign language)")</f>
        <v>Produkt (Fremdsprache)</v>
      </c>
      <c r="G111" s="111"/>
      <c r="H111" s="111" t="s">
        <v>242</v>
      </c>
      <c r="I111" s="111" t="s">
        <v>94</v>
      </c>
      <c r="J111" s="111" t="s">
        <v>468</v>
      </c>
      <c r="K111" s="111"/>
      <c r="L111" s="146"/>
      <c r="M111" s="149"/>
      <c r="N111" s="111"/>
      <c r="O111" s="111"/>
      <c r="P111" s="111"/>
      <c r="Q111" s="111"/>
      <c r="R111" s="111"/>
      <c r="S111" s="111"/>
      <c r="T111" s="111"/>
      <c r="U111" s="111"/>
      <c r="V111" s="111"/>
      <c r="W111" s="111"/>
      <c r="X111" s="111"/>
      <c r="Y111" s="111"/>
      <c r="Z111" s="111"/>
      <c r="AA111" s="111"/>
      <c r="AB111" s="111"/>
      <c r="AC111" s="111"/>
      <c r="AD111" s="111"/>
      <c r="AE111" s="111"/>
      <c r="AF111" s="111"/>
      <c r="AG111" s="111"/>
      <c r="AH111" s="111"/>
      <c r="AI111" s="111"/>
      <c r="AJ111" s="111"/>
      <c r="AK111" s="111"/>
      <c r="AL111" s="111"/>
      <c r="AM111" s="111"/>
      <c r="AN111" s="111"/>
      <c r="AO111" s="111"/>
      <c r="AP111" s="111"/>
      <c r="AQ111" s="111"/>
      <c r="AR111" s="111"/>
      <c r="AS111" s="111"/>
      <c r="AT111" s="111"/>
      <c r="AU111" s="111"/>
      <c r="AV111" s="111"/>
      <c r="AW111" s="111"/>
      <c r="AX111" s="111"/>
      <c r="AY111" s="111"/>
      <c r="AZ111" s="111"/>
      <c r="BA111" s="146"/>
      <c r="BB111" s="104" t="s">
        <v>99</v>
      </c>
      <c r="BC111" s="72" t="s">
        <v>95</v>
      </c>
      <c r="BD111" s="72"/>
      <c r="BE111" s="72"/>
      <c r="BF111" s="146"/>
      <c r="BG111" s="112"/>
      <c r="BH111" s="113"/>
      <c r="BI111" s="146"/>
      <c r="BJ111" s="105"/>
      <c r="BK111" s="113"/>
      <c r="BL111" s="113"/>
      <c r="BM111" s="105"/>
      <c r="BN111" s="113"/>
      <c r="BO111" s="113"/>
      <c r="BP111" s="146"/>
      <c r="BQ111" s="112" t="s">
        <v>113</v>
      </c>
      <c r="BR111" s="113"/>
      <c r="BS111" s="105"/>
      <c r="BT111" s="146"/>
      <c r="BU111" s="105"/>
      <c r="BV111" s="105"/>
      <c r="BW111" s="112"/>
      <c r="BX111" s="113"/>
      <c r="BY111" s="105"/>
      <c r="BZ111" s="113"/>
      <c r="CA111" s="113"/>
      <c r="CB111" s="105"/>
      <c r="CC111" s="113"/>
      <c r="CD111" s="113"/>
      <c r="CE111" s="112"/>
      <c r="CF111" s="113"/>
      <c r="CG111" s="105"/>
      <c r="CH111" s="146"/>
      <c r="CI111" s="105"/>
      <c r="CJ111" s="105"/>
      <c r="CK111" s="112"/>
      <c r="CL111" s="113"/>
      <c r="CM111" s="105"/>
      <c r="CN111" s="113"/>
      <c r="CO111" s="113"/>
      <c r="CP111" s="105"/>
      <c r="CQ111" s="113"/>
      <c r="CR111" s="113"/>
      <c r="CS111" s="112"/>
      <c r="CT111" s="113"/>
      <c r="CU111" s="105"/>
      <c r="CV111" s="146"/>
      <c r="CW111" s="105"/>
      <c r="CX111" s="105"/>
      <c r="CY111" s="112"/>
      <c r="CZ111" s="113"/>
      <c r="DA111" s="105"/>
      <c r="DB111" s="113"/>
      <c r="DC111" s="113"/>
      <c r="DD111" s="105"/>
      <c r="DE111" s="113"/>
      <c r="DF111" s="113"/>
      <c r="DG111" s="112"/>
      <c r="DH111" s="113"/>
      <c r="DI111" s="105"/>
      <c r="DJ111" s="146"/>
      <c r="DK111" s="105"/>
      <c r="DL111" s="105"/>
      <c r="DM111" s="112"/>
      <c r="DN111" s="113"/>
      <c r="DO111" s="105"/>
      <c r="DP111" s="113"/>
      <c r="DQ111" s="113"/>
      <c r="DR111" s="105"/>
      <c r="DS111" s="113"/>
      <c r="DT111" s="113"/>
      <c r="DU111" s="112"/>
      <c r="DV111" s="113"/>
      <c r="DW111" s="105"/>
      <c r="DX111" s="146"/>
      <c r="DY111" s="105"/>
      <c r="DZ111" s="105"/>
      <c r="EA111" s="112"/>
      <c r="EB111" s="113"/>
      <c r="EC111" s="105"/>
      <c r="ED111" s="113"/>
      <c r="EE111" s="113"/>
      <c r="EF111" s="105"/>
      <c r="EG111" s="113"/>
      <c r="EH111" s="113"/>
      <c r="EI111" s="112"/>
      <c r="EJ111" s="113"/>
      <c r="EK111" s="105"/>
      <c r="EL111" s="146"/>
      <c r="EM111" s="72"/>
      <c r="EN111" s="74"/>
      <c r="EO111" s="73"/>
      <c r="EP111" s="72" t="s">
        <v>96</v>
      </c>
      <c r="EQ111" s="72"/>
      <c r="ER111" s="75"/>
      <c r="ES111" s="76"/>
      <c r="ET111" s="77"/>
      <c r="EU111" s="77"/>
      <c r="EV111" s="78"/>
      <c r="EW111" s="72"/>
      <c r="EX111" s="72"/>
      <c r="EY111" s="72"/>
      <c r="EZ111" s="72"/>
      <c r="FA111" s="72"/>
      <c r="FB111" s="78"/>
      <c r="FC111" s="78"/>
      <c r="FD111" s="146"/>
      <c r="FE111" s="78"/>
      <c r="FF111" s="78"/>
      <c r="FG111" s="78"/>
      <c r="FO111" s="146"/>
      <c r="FP111" s="78"/>
      <c r="FQ111" s="78"/>
      <c r="FR111" s="78"/>
    </row>
    <row r="112" spans="1:181" s="71" customFormat="1" ht="16.350000000000001" customHeight="1" x14ac:dyDescent="0.25">
      <c r="A112" s="109"/>
      <c r="B112" s="70"/>
      <c r="C112" s="110"/>
      <c r="D112" s="110">
        <v>1</v>
      </c>
      <c r="E112" s="146"/>
      <c r="F112" s="109" t="str">
        <f>mehrsprachigkeitBegriffsrückgabe(gewählteSpracheZurückgeben(), "Product")</f>
        <v>Produkt</v>
      </c>
      <c r="G112" s="111" t="s">
        <v>243</v>
      </c>
      <c r="H112" s="111"/>
      <c r="I112" s="111" t="s">
        <v>86</v>
      </c>
      <c r="J112" s="111" t="s">
        <v>469</v>
      </c>
      <c r="K112" s="111"/>
      <c r="L112" s="146"/>
      <c r="M112" s="149" t="s">
        <v>392</v>
      </c>
      <c r="N112" s="111" t="s">
        <v>394</v>
      </c>
      <c r="O112" s="114"/>
      <c r="P112" s="114"/>
      <c r="Q112" s="111"/>
      <c r="R112" s="111"/>
      <c r="S112" s="111"/>
      <c r="T112" s="111"/>
      <c r="U112" s="111"/>
      <c r="V112" s="111"/>
      <c r="W112" s="111"/>
      <c r="X112" s="111"/>
      <c r="Y112" s="111"/>
      <c r="Z112" s="111"/>
      <c r="AA112" s="111"/>
      <c r="AB112" s="111"/>
      <c r="AC112" s="111"/>
      <c r="AD112" s="111"/>
      <c r="AE112" s="111"/>
      <c r="AF112" s="111"/>
      <c r="AG112" s="111"/>
      <c r="AH112" s="111"/>
      <c r="AI112" s="111"/>
      <c r="AJ112" s="111"/>
      <c r="AK112" s="111"/>
      <c r="AL112" s="111"/>
      <c r="AM112" s="111"/>
      <c r="AN112" s="111"/>
      <c r="AO112" s="111"/>
      <c r="AP112" s="111"/>
      <c r="AQ112" s="111"/>
      <c r="AR112" s="111"/>
      <c r="AS112" s="111"/>
      <c r="AT112" s="111"/>
      <c r="AU112" s="111"/>
      <c r="AV112" s="111"/>
      <c r="AW112" s="111"/>
      <c r="AX112" s="111"/>
      <c r="AY112" s="111"/>
      <c r="AZ112" s="111"/>
      <c r="BA112" s="146"/>
      <c r="BB112" s="104" t="s">
        <v>98</v>
      </c>
      <c r="BC112" s="72" t="s">
        <v>93</v>
      </c>
      <c r="BD112" s="72" t="s">
        <v>509</v>
      </c>
      <c r="BE112" s="72" t="s">
        <v>412</v>
      </c>
      <c r="BF112" s="146"/>
      <c r="BG112" s="112"/>
      <c r="BH112" s="113"/>
      <c r="BI112" s="146"/>
      <c r="BJ112" s="105"/>
      <c r="BK112" s="113"/>
      <c r="BL112" s="113"/>
      <c r="BM112" s="105"/>
      <c r="BN112" s="113"/>
      <c r="BO112" s="152"/>
      <c r="BP112" s="146"/>
      <c r="BQ112" s="112" t="s">
        <v>113</v>
      </c>
      <c r="BR112" s="113"/>
      <c r="BS112" s="105"/>
      <c r="BT112" s="146"/>
      <c r="BU112" s="105"/>
      <c r="BV112" s="105"/>
      <c r="BW112" s="112"/>
      <c r="BX112" s="113"/>
      <c r="BY112" s="105"/>
      <c r="BZ112" s="113"/>
      <c r="CA112" s="113"/>
      <c r="CB112" s="105"/>
      <c r="CC112" s="113"/>
      <c r="CD112" s="152"/>
      <c r="CE112" s="112"/>
      <c r="CF112" s="113"/>
      <c r="CG112" s="105"/>
      <c r="CH112" s="146"/>
      <c r="CI112" s="105"/>
      <c r="CJ112" s="105"/>
      <c r="CK112" s="112"/>
      <c r="CL112" s="113"/>
      <c r="CM112" s="105"/>
      <c r="CN112" s="152"/>
      <c r="CO112" s="152"/>
      <c r="CP112" s="105"/>
      <c r="CQ112" s="113"/>
      <c r="CR112" s="152"/>
      <c r="CS112" s="112"/>
      <c r="CT112" s="113"/>
      <c r="CU112" s="105"/>
      <c r="CV112" s="146"/>
      <c r="CW112" s="105"/>
      <c r="CX112" s="105"/>
      <c r="CY112" s="112"/>
      <c r="CZ112" s="113"/>
      <c r="DA112" s="105"/>
      <c r="DB112" s="113"/>
      <c r="DC112" s="113"/>
      <c r="DD112" s="105"/>
      <c r="DE112" s="113"/>
      <c r="DF112" s="113"/>
      <c r="DG112" s="112"/>
      <c r="DH112" s="113"/>
      <c r="DI112" s="105"/>
      <c r="DJ112" s="146"/>
      <c r="DK112" s="105"/>
      <c r="DL112" s="105"/>
      <c r="DM112" s="112"/>
      <c r="DN112" s="113"/>
      <c r="DO112" s="105"/>
      <c r="DP112" s="113"/>
      <c r="DQ112" s="113"/>
      <c r="DR112" s="105"/>
      <c r="DS112" s="113"/>
      <c r="DT112" s="113"/>
      <c r="DU112" s="112"/>
      <c r="DV112" s="113"/>
      <c r="DW112" s="105"/>
      <c r="DX112" s="146"/>
      <c r="DY112" s="105"/>
      <c r="DZ112" s="105"/>
      <c r="EA112" s="112"/>
      <c r="EB112" s="113"/>
      <c r="EC112" s="105"/>
      <c r="ED112" s="113"/>
      <c r="EE112" s="113"/>
      <c r="EF112" s="105"/>
      <c r="EG112" s="113"/>
      <c r="EH112" s="113"/>
      <c r="EI112" s="112"/>
      <c r="EJ112" s="113"/>
      <c r="EK112" s="105"/>
      <c r="EL112" s="146"/>
      <c r="EM112" s="72" t="s">
        <v>115</v>
      </c>
      <c r="EN112" s="74">
        <v>2250</v>
      </c>
      <c r="EO112" s="73"/>
      <c r="EP112" s="72" t="s">
        <v>77</v>
      </c>
      <c r="EQ112" s="72"/>
      <c r="ER112" s="75"/>
      <c r="ES112" s="76"/>
      <c r="ET112" s="77">
        <v>1</v>
      </c>
      <c r="EU112" s="77"/>
      <c r="EV112" s="78"/>
      <c r="EW112" s="72"/>
      <c r="EX112" s="72"/>
      <c r="EY112" s="72" t="s">
        <v>100</v>
      </c>
      <c r="EZ112" s="72" t="s">
        <v>114</v>
      </c>
      <c r="FA112" s="72"/>
      <c r="FB112" s="78"/>
      <c r="FC112" s="78"/>
      <c r="FD112" s="146"/>
      <c r="FE112" s="78"/>
      <c r="FF112" s="78"/>
      <c r="FG112" s="78"/>
      <c r="FH112" s="78"/>
      <c r="FI112" s="78"/>
      <c r="FJ112" s="78"/>
      <c r="FK112" s="78"/>
      <c r="FL112" s="78"/>
      <c r="FM112" s="78"/>
      <c r="FN112" s="78"/>
      <c r="FO112" s="146"/>
      <c r="FP112" s="78"/>
      <c r="FQ112" s="78"/>
      <c r="FR112" s="78"/>
      <c r="FS112" s="78"/>
      <c r="FT112" s="78"/>
      <c r="FU112" s="78"/>
      <c r="FV112" s="78"/>
      <c r="FW112" s="78"/>
      <c r="FX112" s="78"/>
      <c r="FY112" s="78"/>
    </row>
    <row r="113" spans="1:181" s="71" customFormat="1" ht="16.350000000000001" customHeight="1" x14ac:dyDescent="0.25">
      <c r="A113" s="109"/>
      <c r="B113" s="70"/>
      <c r="C113" s="110"/>
      <c r="D113" s="110"/>
      <c r="E113" s="146"/>
      <c r="F113" s="109" t="str">
        <f>mehrsprachigkeitBegriffsrückgabe(gewählteSpracheZurückgeben(), "Product (foreign language)")</f>
        <v>Produkt (Fremdsprache)</v>
      </c>
      <c r="G113" s="111"/>
      <c r="H113" s="111" t="s">
        <v>243</v>
      </c>
      <c r="I113" s="111" t="s">
        <v>94</v>
      </c>
      <c r="J113" s="111" t="s">
        <v>470</v>
      </c>
      <c r="K113" s="111"/>
      <c r="L113" s="146"/>
      <c r="M113" s="149"/>
      <c r="N113" s="111"/>
      <c r="O113" s="111"/>
      <c r="P113" s="111"/>
      <c r="Q113" s="111"/>
      <c r="R113" s="111"/>
      <c r="S113" s="111"/>
      <c r="T113" s="111"/>
      <c r="U113" s="111"/>
      <c r="V113" s="111"/>
      <c r="W113" s="111"/>
      <c r="X113" s="111"/>
      <c r="Y113" s="111"/>
      <c r="Z113" s="111"/>
      <c r="AA113" s="111"/>
      <c r="AB113" s="111"/>
      <c r="AC113" s="111"/>
      <c r="AD113" s="111"/>
      <c r="AE113" s="111"/>
      <c r="AF113" s="111"/>
      <c r="AG113" s="111"/>
      <c r="AH113" s="111"/>
      <c r="AI113" s="111"/>
      <c r="AJ113" s="111"/>
      <c r="AK113" s="111"/>
      <c r="AL113" s="111"/>
      <c r="AM113" s="111"/>
      <c r="AN113" s="111"/>
      <c r="AO113" s="111"/>
      <c r="AP113" s="111"/>
      <c r="AQ113" s="111"/>
      <c r="AR113" s="111"/>
      <c r="AS113" s="111"/>
      <c r="AT113" s="111"/>
      <c r="AU113" s="111"/>
      <c r="AV113" s="111"/>
      <c r="AW113" s="111"/>
      <c r="AX113" s="111"/>
      <c r="AY113" s="111"/>
      <c r="AZ113" s="111"/>
      <c r="BA113" s="146"/>
      <c r="BB113" s="104" t="s">
        <v>99</v>
      </c>
      <c r="BC113" s="72" t="s">
        <v>95</v>
      </c>
      <c r="BD113" s="72"/>
      <c r="BE113" s="72"/>
      <c r="BF113" s="146"/>
      <c r="BG113" s="112"/>
      <c r="BH113" s="113"/>
      <c r="BI113" s="146"/>
      <c r="BJ113" s="105"/>
      <c r="BK113" s="113"/>
      <c r="BL113" s="113"/>
      <c r="BM113" s="105"/>
      <c r="BN113" s="113"/>
      <c r="BO113" s="113"/>
      <c r="BP113" s="146"/>
      <c r="BQ113" s="112" t="s">
        <v>113</v>
      </c>
      <c r="BR113" s="113"/>
      <c r="BS113" s="105"/>
      <c r="BT113" s="146"/>
      <c r="BU113" s="105"/>
      <c r="BV113" s="105"/>
      <c r="BW113" s="112"/>
      <c r="BX113" s="113"/>
      <c r="BY113" s="105"/>
      <c r="BZ113" s="113"/>
      <c r="CA113" s="113"/>
      <c r="CB113" s="105"/>
      <c r="CC113" s="113"/>
      <c r="CD113" s="113"/>
      <c r="CE113" s="112"/>
      <c r="CF113" s="113"/>
      <c r="CG113" s="105"/>
      <c r="CH113" s="146"/>
      <c r="CI113" s="105"/>
      <c r="CJ113" s="105"/>
      <c r="CK113" s="112"/>
      <c r="CL113" s="113"/>
      <c r="CM113" s="105"/>
      <c r="CN113" s="113"/>
      <c r="CO113" s="113"/>
      <c r="CP113" s="105"/>
      <c r="CQ113" s="113"/>
      <c r="CR113" s="113"/>
      <c r="CS113" s="112"/>
      <c r="CT113" s="113"/>
      <c r="CU113" s="105"/>
      <c r="CV113" s="146"/>
      <c r="CW113" s="105"/>
      <c r="CX113" s="105"/>
      <c r="CY113" s="112"/>
      <c r="CZ113" s="113"/>
      <c r="DA113" s="105"/>
      <c r="DB113" s="113"/>
      <c r="DC113" s="113"/>
      <c r="DD113" s="105"/>
      <c r="DE113" s="113"/>
      <c r="DF113" s="113"/>
      <c r="DG113" s="112"/>
      <c r="DH113" s="113"/>
      <c r="DI113" s="105"/>
      <c r="DJ113" s="146"/>
      <c r="DK113" s="105"/>
      <c r="DL113" s="105"/>
      <c r="DM113" s="112"/>
      <c r="DN113" s="113"/>
      <c r="DO113" s="105"/>
      <c r="DP113" s="113"/>
      <c r="DQ113" s="113"/>
      <c r="DR113" s="105"/>
      <c r="DS113" s="113"/>
      <c r="DT113" s="113"/>
      <c r="DU113" s="112"/>
      <c r="DV113" s="113"/>
      <c r="DW113" s="105"/>
      <c r="DX113" s="146"/>
      <c r="DY113" s="105"/>
      <c r="DZ113" s="105"/>
      <c r="EA113" s="112"/>
      <c r="EB113" s="113"/>
      <c r="EC113" s="105"/>
      <c r="ED113" s="113"/>
      <c r="EE113" s="113"/>
      <c r="EF113" s="105"/>
      <c r="EG113" s="113"/>
      <c r="EH113" s="113"/>
      <c r="EI113" s="112"/>
      <c r="EJ113" s="113"/>
      <c r="EK113" s="105"/>
      <c r="EL113" s="146"/>
      <c r="EM113" s="72"/>
      <c r="EN113" s="74"/>
      <c r="EO113" s="73"/>
      <c r="EP113" s="72" t="s">
        <v>96</v>
      </c>
      <c r="EQ113" s="72"/>
      <c r="ER113" s="75"/>
      <c r="ES113" s="76"/>
      <c r="ET113" s="77"/>
      <c r="EU113" s="77"/>
      <c r="EV113" s="78"/>
      <c r="EW113" s="72"/>
      <c r="EX113" s="72"/>
      <c r="EY113" s="72"/>
      <c r="EZ113" s="72"/>
      <c r="FA113" s="72"/>
      <c r="FB113" s="78"/>
      <c r="FC113" s="78"/>
      <c r="FD113" s="146"/>
      <c r="FE113" s="78"/>
      <c r="FF113" s="78"/>
      <c r="FG113" s="78"/>
      <c r="FO113" s="146"/>
      <c r="FP113" s="78"/>
      <c r="FQ113" s="78"/>
      <c r="FR113" s="78"/>
    </row>
    <row r="114" spans="1:181" s="71" customFormat="1" ht="16.350000000000001" customHeight="1" x14ac:dyDescent="0.25">
      <c r="A114" s="109"/>
      <c r="B114" s="70"/>
      <c r="C114" s="110"/>
      <c r="D114" s="110">
        <v>1</v>
      </c>
      <c r="E114" s="146"/>
      <c r="F114" s="109" t="str">
        <f>mehrsprachigkeitBegriffsrückgabe(gewählteSpracheZurückgeben(), "Product")</f>
        <v>Produkt</v>
      </c>
      <c r="G114" s="111" t="s">
        <v>244</v>
      </c>
      <c r="H114" s="111"/>
      <c r="I114" s="111" t="s">
        <v>86</v>
      </c>
      <c r="J114" s="111" t="s">
        <v>471</v>
      </c>
      <c r="K114" s="111"/>
      <c r="L114" s="146"/>
      <c r="M114" s="149" t="s">
        <v>392</v>
      </c>
      <c r="N114" s="111" t="s">
        <v>395</v>
      </c>
      <c r="O114" s="114"/>
      <c r="P114" s="114"/>
      <c r="Q114" s="111"/>
      <c r="R114" s="111"/>
      <c r="S114" s="111"/>
      <c r="T114" s="111"/>
      <c r="U114" s="111"/>
      <c r="V114" s="111"/>
      <c r="W114" s="111"/>
      <c r="X114" s="111"/>
      <c r="Y114" s="111"/>
      <c r="Z114" s="111"/>
      <c r="AA114" s="111"/>
      <c r="AB114" s="111"/>
      <c r="AC114" s="111"/>
      <c r="AD114" s="111"/>
      <c r="AE114" s="111"/>
      <c r="AF114" s="111"/>
      <c r="AG114" s="111"/>
      <c r="AH114" s="111"/>
      <c r="AI114" s="111"/>
      <c r="AJ114" s="111"/>
      <c r="AK114" s="111"/>
      <c r="AL114" s="111"/>
      <c r="AM114" s="111"/>
      <c r="AN114" s="111"/>
      <c r="AO114" s="111"/>
      <c r="AP114" s="111"/>
      <c r="AQ114" s="111"/>
      <c r="AR114" s="111"/>
      <c r="AS114" s="111"/>
      <c r="AT114" s="111"/>
      <c r="AU114" s="111"/>
      <c r="AV114" s="111"/>
      <c r="AW114" s="111"/>
      <c r="AX114" s="111"/>
      <c r="AY114" s="111"/>
      <c r="AZ114" s="111"/>
      <c r="BA114" s="146"/>
      <c r="BB114" s="104" t="s">
        <v>98</v>
      </c>
      <c r="BC114" s="72" t="s">
        <v>93</v>
      </c>
      <c r="BD114" s="72" t="s">
        <v>509</v>
      </c>
      <c r="BE114" s="72" t="s">
        <v>414</v>
      </c>
      <c r="BF114" s="146"/>
      <c r="BG114" s="112"/>
      <c r="BH114" s="113"/>
      <c r="BI114" s="146"/>
      <c r="BJ114" s="105"/>
      <c r="BK114" s="113"/>
      <c r="BL114" s="113"/>
      <c r="BM114" s="105"/>
      <c r="BN114" s="113"/>
      <c r="BO114" s="152"/>
      <c r="BP114" s="146"/>
      <c r="BQ114" s="112" t="s">
        <v>113</v>
      </c>
      <c r="BR114" s="113"/>
      <c r="BS114" s="105"/>
      <c r="BT114" s="146"/>
      <c r="BU114" s="105"/>
      <c r="BV114" s="105"/>
      <c r="BW114" s="112"/>
      <c r="BX114" s="113"/>
      <c r="BY114" s="105"/>
      <c r="BZ114" s="113"/>
      <c r="CA114" s="113"/>
      <c r="CB114" s="105"/>
      <c r="CC114" s="113"/>
      <c r="CD114" s="152"/>
      <c r="CE114" s="112"/>
      <c r="CF114" s="113"/>
      <c r="CG114" s="105"/>
      <c r="CH114" s="146"/>
      <c r="CI114" s="105"/>
      <c r="CJ114" s="105"/>
      <c r="CK114" s="112"/>
      <c r="CL114" s="113"/>
      <c r="CM114" s="105"/>
      <c r="CN114" s="152"/>
      <c r="CO114" s="152"/>
      <c r="CP114" s="105"/>
      <c r="CQ114" s="113"/>
      <c r="CR114" s="152"/>
      <c r="CS114" s="112"/>
      <c r="CT114" s="113"/>
      <c r="CU114" s="105"/>
      <c r="CV114" s="146"/>
      <c r="CW114" s="105"/>
      <c r="CX114" s="105"/>
      <c r="CY114" s="112"/>
      <c r="CZ114" s="113"/>
      <c r="DA114" s="105"/>
      <c r="DB114" s="113"/>
      <c r="DC114" s="113"/>
      <c r="DD114" s="105"/>
      <c r="DE114" s="113"/>
      <c r="DF114" s="113"/>
      <c r="DG114" s="112"/>
      <c r="DH114" s="113"/>
      <c r="DI114" s="105"/>
      <c r="DJ114" s="146"/>
      <c r="DK114" s="105"/>
      <c r="DL114" s="105"/>
      <c r="DM114" s="112"/>
      <c r="DN114" s="113"/>
      <c r="DO114" s="105"/>
      <c r="DP114" s="113"/>
      <c r="DQ114" s="113"/>
      <c r="DR114" s="105"/>
      <c r="DS114" s="113"/>
      <c r="DT114" s="113"/>
      <c r="DU114" s="112"/>
      <c r="DV114" s="113"/>
      <c r="DW114" s="105"/>
      <c r="DX114" s="146"/>
      <c r="DY114" s="105"/>
      <c r="DZ114" s="105"/>
      <c r="EA114" s="112"/>
      <c r="EB114" s="113"/>
      <c r="EC114" s="105"/>
      <c r="ED114" s="113"/>
      <c r="EE114" s="113"/>
      <c r="EF114" s="105"/>
      <c r="EG114" s="113"/>
      <c r="EH114" s="113"/>
      <c r="EI114" s="112"/>
      <c r="EJ114" s="113"/>
      <c r="EK114" s="105"/>
      <c r="EL114" s="146"/>
      <c r="EM114" s="72" t="s">
        <v>115</v>
      </c>
      <c r="EN114" s="74">
        <v>2250</v>
      </c>
      <c r="EO114" s="73"/>
      <c r="EP114" s="72" t="s">
        <v>77</v>
      </c>
      <c r="EQ114" s="72"/>
      <c r="ER114" s="75"/>
      <c r="ES114" s="76"/>
      <c r="ET114" s="77"/>
      <c r="EU114" s="77"/>
      <c r="EV114" s="78"/>
      <c r="EW114" s="72"/>
      <c r="EX114" s="72"/>
      <c r="EY114" s="72" t="s">
        <v>100</v>
      </c>
      <c r="EZ114" s="72" t="s">
        <v>114</v>
      </c>
      <c r="FA114" s="72"/>
      <c r="FB114" s="78"/>
      <c r="FC114" s="78"/>
      <c r="FD114" s="146"/>
      <c r="FE114" s="78"/>
      <c r="FF114" s="78"/>
      <c r="FG114" s="78"/>
      <c r="FH114" s="78"/>
      <c r="FI114" s="78"/>
      <c r="FJ114" s="78"/>
      <c r="FK114" s="78"/>
      <c r="FL114" s="78"/>
      <c r="FM114" s="78"/>
      <c r="FN114" s="78"/>
      <c r="FO114" s="146"/>
      <c r="FP114" s="78"/>
      <c r="FQ114" s="78"/>
      <c r="FR114" s="78"/>
      <c r="FS114" s="78"/>
      <c r="FT114" s="78"/>
      <c r="FU114" s="78"/>
      <c r="FV114" s="78"/>
      <c r="FW114" s="78"/>
      <c r="FX114" s="78"/>
      <c r="FY114" s="78"/>
    </row>
    <row r="115" spans="1:181" s="71" customFormat="1" ht="16.350000000000001" customHeight="1" x14ac:dyDescent="0.25">
      <c r="A115" s="109"/>
      <c r="B115" s="70"/>
      <c r="C115" s="110"/>
      <c r="D115" s="110"/>
      <c r="E115" s="146"/>
      <c r="F115" s="109" t="str">
        <f>mehrsprachigkeitBegriffsrückgabe(gewählteSpracheZurückgeben(), "Product (foreign language)")</f>
        <v>Produkt (Fremdsprache)</v>
      </c>
      <c r="G115" s="111"/>
      <c r="H115" s="111" t="s">
        <v>244</v>
      </c>
      <c r="I115" s="111" t="s">
        <v>94</v>
      </c>
      <c r="J115" s="111" t="s">
        <v>472</v>
      </c>
      <c r="K115" s="111"/>
      <c r="L115" s="146"/>
      <c r="M115" s="149"/>
      <c r="N115" s="111"/>
      <c r="O115" s="111"/>
      <c r="P115" s="111"/>
      <c r="Q115" s="111"/>
      <c r="R115" s="111"/>
      <c r="S115" s="111"/>
      <c r="T115" s="111"/>
      <c r="U115" s="111"/>
      <c r="V115" s="111"/>
      <c r="W115" s="111"/>
      <c r="X115" s="111"/>
      <c r="Y115" s="111"/>
      <c r="Z115" s="111"/>
      <c r="AA115" s="111"/>
      <c r="AB115" s="111"/>
      <c r="AC115" s="111"/>
      <c r="AD115" s="111"/>
      <c r="AE115" s="111"/>
      <c r="AF115" s="111"/>
      <c r="AG115" s="111"/>
      <c r="AH115" s="111"/>
      <c r="AI115" s="111"/>
      <c r="AJ115" s="111"/>
      <c r="AK115" s="111"/>
      <c r="AL115" s="111"/>
      <c r="AM115" s="111"/>
      <c r="AN115" s="111"/>
      <c r="AO115" s="111"/>
      <c r="AP115" s="111"/>
      <c r="AQ115" s="111"/>
      <c r="AR115" s="111"/>
      <c r="AS115" s="111"/>
      <c r="AT115" s="111"/>
      <c r="AU115" s="111"/>
      <c r="AV115" s="111"/>
      <c r="AW115" s="111"/>
      <c r="AX115" s="111"/>
      <c r="AY115" s="111"/>
      <c r="AZ115" s="111"/>
      <c r="BA115" s="146"/>
      <c r="BB115" s="104" t="s">
        <v>99</v>
      </c>
      <c r="BC115" s="72" t="s">
        <v>95</v>
      </c>
      <c r="BD115" s="72"/>
      <c r="BE115" s="72"/>
      <c r="BF115" s="146"/>
      <c r="BG115" s="112"/>
      <c r="BH115" s="113"/>
      <c r="BI115" s="146"/>
      <c r="BJ115" s="105"/>
      <c r="BK115" s="113"/>
      <c r="BL115" s="113"/>
      <c r="BM115" s="105"/>
      <c r="BN115" s="113"/>
      <c r="BO115" s="113"/>
      <c r="BP115" s="146"/>
      <c r="BQ115" s="112" t="s">
        <v>113</v>
      </c>
      <c r="BR115" s="113"/>
      <c r="BS115" s="105"/>
      <c r="BT115" s="146"/>
      <c r="BU115" s="105"/>
      <c r="BV115" s="105"/>
      <c r="BW115" s="112"/>
      <c r="BX115" s="113"/>
      <c r="BY115" s="105"/>
      <c r="BZ115" s="113"/>
      <c r="CA115" s="113"/>
      <c r="CB115" s="105"/>
      <c r="CC115" s="113"/>
      <c r="CD115" s="113"/>
      <c r="CE115" s="112"/>
      <c r="CF115" s="113"/>
      <c r="CG115" s="105"/>
      <c r="CH115" s="146"/>
      <c r="CI115" s="105"/>
      <c r="CJ115" s="105"/>
      <c r="CK115" s="112"/>
      <c r="CL115" s="113"/>
      <c r="CM115" s="105"/>
      <c r="CN115" s="113"/>
      <c r="CO115" s="113"/>
      <c r="CP115" s="105"/>
      <c r="CQ115" s="113"/>
      <c r="CR115" s="113"/>
      <c r="CS115" s="112"/>
      <c r="CT115" s="113"/>
      <c r="CU115" s="105"/>
      <c r="CV115" s="146"/>
      <c r="CW115" s="105"/>
      <c r="CX115" s="105"/>
      <c r="CY115" s="112"/>
      <c r="CZ115" s="113"/>
      <c r="DA115" s="105"/>
      <c r="DB115" s="113"/>
      <c r="DC115" s="113"/>
      <c r="DD115" s="105"/>
      <c r="DE115" s="113"/>
      <c r="DF115" s="113"/>
      <c r="DG115" s="112"/>
      <c r="DH115" s="113"/>
      <c r="DI115" s="105"/>
      <c r="DJ115" s="146"/>
      <c r="DK115" s="105"/>
      <c r="DL115" s="105"/>
      <c r="DM115" s="112"/>
      <c r="DN115" s="113"/>
      <c r="DO115" s="105"/>
      <c r="DP115" s="113"/>
      <c r="DQ115" s="113"/>
      <c r="DR115" s="105"/>
      <c r="DS115" s="113"/>
      <c r="DT115" s="113"/>
      <c r="DU115" s="112"/>
      <c r="DV115" s="113"/>
      <c r="DW115" s="105"/>
      <c r="DX115" s="146"/>
      <c r="DY115" s="105"/>
      <c r="DZ115" s="105"/>
      <c r="EA115" s="112"/>
      <c r="EB115" s="113"/>
      <c r="EC115" s="105"/>
      <c r="ED115" s="113"/>
      <c r="EE115" s="113"/>
      <c r="EF115" s="105"/>
      <c r="EG115" s="113"/>
      <c r="EH115" s="113"/>
      <c r="EI115" s="112"/>
      <c r="EJ115" s="113"/>
      <c r="EK115" s="105"/>
      <c r="EL115" s="146"/>
      <c r="EM115" s="72"/>
      <c r="EN115" s="74"/>
      <c r="EO115" s="73"/>
      <c r="EP115" s="72" t="s">
        <v>96</v>
      </c>
      <c r="EQ115" s="72"/>
      <c r="ER115" s="75"/>
      <c r="ES115" s="76"/>
      <c r="ET115" s="77"/>
      <c r="EU115" s="77"/>
      <c r="EV115" s="78"/>
      <c r="EW115" s="72"/>
      <c r="EX115" s="72"/>
      <c r="EY115" s="72"/>
      <c r="EZ115" s="72"/>
      <c r="FA115" s="72"/>
      <c r="FB115" s="78"/>
      <c r="FC115" s="78"/>
      <c r="FD115" s="146"/>
      <c r="FE115" s="78"/>
      <c r="FF115" s="78"/>
      <c r="FG115" s="78"/>
      <c r="FO115" s="146"/>
      <c r="FP115" s="78"/>
      <c r="FQ115" s="78"/>
      <c r="FR115" s="78"/>
    </row>
    <row r="116" spans="1:181" s="71" customFormat="1" ht="16.350000000000001" customHeight="1" x14ac:dyDescent="0.25">
      <c r="A116" s="109"/>
      <c r="B116" s="70"/>
      <c r="C116" s="110"/>
      <c r="D116" s="110">
        <v>1</v>
      </c>
      <c r="E116" s="146"/>
      <c r="F116" s="109" t="str">
        <f>mehrsprachigkeitBegriffsrückgabe(gewählteSpracheZurückgeben(), "Product")</f>
        <v>Produkt</v>
      </c>
      <c r="G116" s="111" t="s">
        <v>245</v>
      </c>
      <c r="H116" s="111"/>
      <c r="I116" s="111" t="s">
        <v>86</v>
      </c>
      <c r="J116" s="111" t="s">
        <v>473</v>
      </c>
      <c r="K116" s="111"/>
      <c r="L116" s="146"/>
      <c r="M116" s="149" t="s">
        <v>392</v>
      </c>
      <c r="N116" s="111" t="s">
        <v>395</v>
      </c>
      <c r="O116" s="114"/>
      <c r="P116" s="114" t="s">
        <v>113</v>
      </c>
      <c r="Q116" s="111"/>
      <c r="R116" s="111"/>
      <c r="S116" s="111"/>
      <c r="T116" s="111"/>
      <c r="U116" s="111"/>
      <c r="V116" s="111"/>
      <c r="W116" s="111"/>
      <c r="X116" s="111"/>
      <c r="Y116" s="111"/>
      <c r="Z116" s="111"/>
      <c r="AA116" s="111"/>
      <c r="AB116" s="111"/>
      <c r="AC116" s="111"/>
      <c r="AD116" s="111"/>
      <c r="AE116" s="111"/>
      <c r="AF116" s="111"/>
      <c r="AG116" s="111"/>
      <c r="AH116" s="111"/>
      <c r="AI116" s="111"/>
      <c r="AJ116" s="111"/>
      <c r="AK116" s="111"/>
      <c r="AL116" s="111"/>
      <c r="AM116" s="111"/>
      <c r="AN116" s="111"/>
      <c r="AO116" s="111"/>
      <c r="AP116" s="111"/>
      <c r="AQ116" s="111"/>
      <c r="AR116" s="111"/>
      <c r="AS116" s="111"/>
      <c r="AT116" s="111"/>
      <c r="AU116" s="111"/>
      <c r="AV116" s="111"/>
      <c r="AW116" s="111"/>
      <c r="AX116" s="111"/>
      <c r="AY116" s="111"/>
      <c r="AZ116" s="111"/>
      <c r="BA116" s="146"/>
      <c r="BB116" s="104" t="s">
        <v>98</v>
      </c>
      <c r="BC116" s="72" t="s">
        <v>93</v>
      </c>
      <c r="BD116" s="72" t="s">
        <v>509</v>
      </c>
      <c r="BE116" s="72" t="s">
        <v>413</v>
      </c>
      <c r="BF116" s="146"/>
      <c r="BG116" s="112"/>
      <c r="BH116" s="113"/>
      <c r="BI116" s="146"/>
      <c r="BJ116" s="105"/>
      <c r="BK116" s="113"/>
      <c r="BL116" s="113"/>
      <c r="BM116" s="105"/>
      <c r="BN116" s="113"/>
      <c r="BO116" s="152"/>
      <c r="BP116" s="146"/>
      <c r="BQ116" s="112">
        <v>59.9</v>
      </c>
      <c r="BR116" s="113"/>
      <c r="BS116" s="105">
        <v>1</v>
      </c>
      <c r="BT116" s="146"/>
      <c r="BU116" s="105"/>
      <c r="BV116" s="105"/>
      <c r="BW116" s="112"/>
      <c r="BX116" s="113"/>
      <c r="BY116" s="105"/>
      <c r="BZ116" s="113"/>
      <c r="CA116" s="113"/>
      <c r="CB116" s="105"/>
      <c r="CC116" s="113"/>
      <c r="CD116" s="152"/>
      <c r="CE116" s="112"/>
      <c r="CF116" s="113"/>
      <c r="CG116" s="105"/>
      <c r="CH116" s="146"/>
      <c r="CI116" s="105"/>
      <c r="CJ116" s="105"/>
      <c r="CK116" s="112"/>
      <c r="CL116" s="113"/>
      <c r="CM116" s="105"/>
      <c r="CN116" s="152"/>
      <c r="CO116" s="152"/>
      <c r="CP116" s="105"/>
      <c r="CQ116" s="113"/>
      <c r="CR116" s="152"/>
      <c r="CS116" s="112"/>
      <c r="CT116" s="113"/>
      <c r="CU116" s="105"/>
      <c r="CV116" s="146"/>
      <c r="CW116" s="105"/>
      <c r="CX116" s="105"/>
      <c r="CY116" s="112"/>
      <c r="CZ116" s="113"/>
      <c r="DA116" s="105"/>
      <c r="DB116" s="113"/>
      <c r="DC116" s="113"/>
      <c r="DD116" s="105"/>
      <c r="DE116" s="113"/>
      <c r="DF116" s="113"/>
      <c r="DG116" s="112"/>
      <c r="DH116" s="113"/>
      <c r="DI116" s="105"/>
      <c r="DJ116" s="146"/>
      <c r="DK116" s="105"/>
      <c r="DL116" s="105"/>
      <c r="DM116" s="112"/>
      <c r="DN116" s="113"/>
      <c r="DO116" s="105"/>
      <c r="DP116" s="113"/>
      <c r="DQ116" s="113"/>
      <c r="DR116" s="105"/>
      <c r="DS116" s="113"/>
      <c r="DT116" s="113"/>
      <c r="DU116" s="112"/>
      <c r="DV116" s="113"/>
      <c r="DW116" s="105"/>
      <c r="DX116" s="146"/>
      <c r="DY116" s="105"/>
      <c r="DZ116" s="105"/>
      <c r="EA116" s="112"/>
      <c r="EB116" s="113"/>
      <c r="EC116" s="105"/>
      <c r="ED116" s="113"/>
      <c r="EE116" s="113"/>
      <c r="EF116" s="105"/>
      <c r="EG116" s="113"/>
      <c r="EH116" s="113"/>
      <c r="EI116" s="112"/>
      <c r="EJ116" s="113"/>
      <c r="EK116" s="105"/>
      <c r="EL116" s="146"/>
      <c r="EM116" s="72" t="s">
        <v>115</v>
      </c>
      <c r="EN116" s="74">
        <v>2250</v>
      </c>
      <c r="EO116" s="73"/>
      <c r="EP116" s="72" t="s">
        <v>77</v>
      </c>
      <c r="EQ116" s="72"/>
      <c r="ER116" s="75"/>
      <c r="ES116" s="76"/>
      <c r="ET116" s="77"/>
      <c r="EU116" s="77">
        <v>1</v>
      </c>
      <c r="EV116" s="78"/>
      <c r="EW116" s="72"/>
      <c r="EX116" s="72"/>
      <c r="EY116" s="72" t="s">
        <v>100</v>
      </c>
      <c r="EZ116" s="72" t="s">
        <v>114</v>
      </c>
      <c r="FA116" s="72"/>
      <c r="FB116" s="78"/>
      <c r="FC116" s="78"/>
      <c r="FD116" s="146"/>
      <c r="FE116" s="78"/>
      <c r="FF116" s="78"/>
      <c r="FG116" s="78"/>
      <c r="FH116" s="78"/>
      <c r="FI116" s="78"/>
      <c r="FJ116" s="78"/>
      <c r="FK116" s="78"/>
      <c r="FL116" s="78"/>
      <c r="FM116" s="78"/>
      <c r="FN116" s="78"/>
      <c r="FO116" s="146"/>
      <c r="FP116" s="78"/>
      <c r="FQ116" s="78"/>
      <c r="FR116" s="78"/>
      <c r="FS116" s="78"/>
      <c r="FT116" s="78"/>
      <c r="FU116" s="78"/>
      <c r="FV116" s="78"/>
      <c r="FW116" s="78"/>
      <c r="FX116" s="78"/>
      <c r="FY116" s="78"/>
    </row>
    <row r="117" spans="1:181" s="71" customFormat="1" ht="16.350000000000001" customHeight="1" x14ac:dyDescent="0.25">
      <c r="A117" s="109"/>
      <c r="B117" s="70"/>
      <c r="C117" s="110"/>
      <c r="D117" s="110"/>
      <c r="E117" s="146"/>
      <c r="F117" s="109" t="str">
        <f>mehrsprachigkeitBegriffsrückgabe(gewählteSpracheZurückgeben(), "Product (foreign language)")</f>
        <v>Produkt (Fremdsprache)</v>
      </c>
      <c r="G117" s="111"/>
      <c r="H117" s="111" t="s">
        <v>245</v>
      </c>
      <c r="I117" s="111" t="s">
        <v>94</v>
      </c>
      <c r="J117" s="111" t="s">
        <v>474</v>
      </c>
      <c r="K117" s="111"/>
      <c r="L117" s="146"/>
      <c r="M117" s="149"/>
      <c r="N117" s="111"/>
      <c r="O117" s="111"/>
      <c r="P117" s="111"/>
      <c r="Q117" s="111"/>
      <c r="R117" s="111"/>
      <c r="S117" s="111"/>
      <c r="T117" s="111"/>
      <c r="U117" s="111"/>
      <c r="V117" s="111"/>
      <c r="W117" s="111"/>
      <c r="X117" s="111"/>
      <c r="Y117" s="111"/>
      <c r="Z117" s="111"/>
      <c r="AA117" s="111"/>
      <c r="AB117" s="111"/>
      <c r="AC117" s="111"/>
      <c r="AD117" s="111"/>
      <c r="AE117" s="111"/>
      <c r="AF117" s="111"/>
      <c r="AG117" s="111"/>
      <c r="AH117" s="111"/>
      <c r="AI117" s="111"/>
      <c r="AJ117" s="111"/>
      <c r="AK117" s="111"/>
      <c r="AL117" s="111"/>
      <c r="AM117" s="111"/>
      <c r="AN117" s="111"/>
      <c r="AO117" s="111"/>
      <c r="AP117" s="111"/>
      <c r="AQ117" s="111"/>
      <c r="AR117" s="111"/>
      <c r="AS117" s="111"/>
      <c r="AT117" s="111"/>
      <c r="AU117" s="111"/>
      <c r="AV117" s="111"/>
      <c r="AW117" s="111"/>
      <c r="AX117" s="111"/>
      <c r="AY117" s="111"/>
      <c r="AZ117" s="111"/>
      <c r="BA117" s="146"/>
      <c r="BB117" s="104" t="s">
        <v>99</v>
      </c>
      <c r="BC117" s="72" t="s">
        <v>95</v>
      </c>
      <c r="BD117" s="72"/>
      <c r="BE117" s="72"/>
      <c r="BF117" s="146"/>
      <c r="BG117" s="112"/>
      <c r="BH117" s="113"/>
      <c r="BI117" s="146"/>
      <c r="BJ117" s="105"/>
      <c r="BK117" s="113"/>
      <c r="BL117" s="113"/>
      <c r="BM117" s="105"/>
      <c r="BN117" s="113"/>
      <c r="BO117" s="113"/>
      <c r="BP117" s="146"/>
      <c r="BQ117" s="112" t="s">
        <v>113</v>
      </c>
      <c r="BR117" s="113"/>
      <c r="BS117" s="105"/>
      <c r="BT117" s="146"/>
      <c r="BU117" s="105"/>
      <c r="BV117" s="105"/>
      <c r="BW117" s="112"/>
      <c r="BX117" s="113"/>
      <c r="BY117" s="105"/>
      <c r="BZ117" s="113"/>
      <c r="CA117" s="113"/>
      <c r="CB117" s="105"/>
      <c r="CC117" s="113"/>
      <c r="CD117" s="113"/>
      <c r="CE117" s="112"/>
      <c r="CF117" s="113"/>
      <c r="CG117" s="105"/>
      <c r="CH117" s="146"/>
      <c r="CI117" s="105"/>
      <c r="CJ117" s="105"/>
      <c r="CK117" s="112"/>
      <c r="CL117" s="113"/>
      <c r="CM117" s="105"/>
      <c r="CN117" s="113"/>
      <c r="CO117" s="113"/>
      <c r="CP117" s="105"/>
      <c r="CQ117" s="113"/>
      <c r="CR117" s="113"/>
      <c r="CS117" s="112"/>
      <c r="CT117" s="113"/>
      <c r="CU117" s="105"/>
      <c r="CV117" s="146"/>
      <c r="CW117" s="105"/>
      <c r="CX117" s="105"/>
      <c r="CY117" s="112"/>
      <c r="CZ117" s="113"/>
      <c r="DA117" s="105"/>
      <c r="DB117" s="113"/>
      <c r="DC117" s="113"/>
      <c r="DD117" s="105"/>
      <c r="DE117" s="113"/>
      <c r="DF117" s="113"/>
      <c r="DG117" s="112"/>
      <c r="DH117" s="113"/>
      <c r="DI117" s="105"/>
      <c r="DJ117" s="146"/>
      <c r="DK117" s="105"/>
      <c r="DL117" s="105"/>
      <c r="DM117" s="112"/>
      <c r="DN117" s="113"/>
      <c r="DO117" s="105"/>
      <c r="DP117" s="113"/>
      <c r="DQ117" s="113"/>
      <c r="DR117" s="105"/>
      <c r="DS117" s="113"/>
      <c r="DT117" s="113"/>
      <c r="DU117" s="112"/>
      <c r="DV117" s="113"/>
      <c r="DW117" s="105"/>
      <c r="DX117" s="146"/>
      <c r="DY117" s="105"/>
      <c r="DZ117" s="105"/>
      <c r="EA117" s="112"/>
      <c r="EB117" s="113"/>
      <c r="EC117" s="105"/>
      <c r="ED117" s="113"/>
      <c r="EE117" s="113"/>
      <c r="EF117" s="105"/>
      <c r="EG117" s="113"/>
      <c r="EH117" s="113"/>
      <c r="EI117" s="112"/>
      <c r="EJ117" s="113"/>
      <c r="EK117" s="105"/>
      <c r="EL117" s="146"/>
      <c r="EM117" s="72"/>
      <c r="EN117" s="74"/>
      <c r="EO117" s="73"/>
      <c r="EP117" s="72" t="s">
        <v>96</v>
      </c>
      <c r="EQ117" s="72"/>
      <c r="ER117" s="75"/>
      <c r="ES117" s="76"/>
      <c r="ET117" s="77"/>
      <c r="EU117" s="77"/>
      <c r="EV117" s="78"/>
      <c r="EW117" s="72"/>
      <c r="EX117" s="72"/>
      <c r="EY117" s="72"/>
      <c r="EZ117" s="72"/>
      <c r="FA117" s="72"/>
      <c r="FB117" s="78"/>
      <c r="FC117" s="78"/>
      <c r="FD117" s="146"/>
      <c r="FE117" s="78"/>
      <c r="FF117" s="78"/>
      <c r="FG117" s="78"/>
      <c r="FO117" s="146"/>
      <c r="FP117" s="78"/>
      <c r="FQ117" s="78"/>
      <c r="FR117" s="78"/>
    </row>
    <row r="118" spans="1:181" s="71" customFormat="1" ht="16.350000000000001" customHeight="1" x14ac:dyDescent="0.25">
      <c r="A118" s="109"/>
      <c r="B118" s="70"/>
      <c r="C118" s="110"/>
      <c r="D118" s="110">
        <v>1</v>
      </c>
      <c r="E118" s="146"/>
      <c r="F118" s="109" t="str">
        <f>mehrsprachigkeitBegriffsrückgabe(gewählteSpracheZurückgeben(), "Product")</f>
        <v>Produkt</v>
      </c>
      <c r="G118" s="111" t="s">
        <v>246</v>
      </c>
      <c r="H118" s="111"/>
      <c r="I118" s="111" t="s">
        <v>86</v>
      </c>
      <c r="J118" s="111" t="s">
        <v>475</v>
      </c>
      <c r="K118" s="111"/>
      <c r="L118" s="146"/>
      <c r="M118" s="149" t="s">
        <v>392</v>
      </c>
      <c r="N118" s="111" t="s">
        <v>395</v>
      </c>
      <c r="O118" s="114"/>
      <c r="P118" s="114"/>
      <c r="Q118" s="111"/>
      <c r="R118" s="111"/>
      <c r="S118" s="111"/>
      <c r="T118" s="111"/>
      <c r="U118" s="111"/>
      <c r="V118" s="111"/>
      <c r="W118" s="111"/>
      <c r="X118" s="111"/>
      <c r="Y118" s="111"/>
      <c r="Z118" s="111"/>
      <c r="AA118" s="111"/>
      <c r="AB118" s="111"/>
      <c r="AC118" s="111"/>
      <c r="AD118" s="111"/>
      <c r="AE118" s="111"/>
      <c r="AF118" s="111"/>
      <c r="AG118" s="111"/>
      <c r="AH118" s="111"/>
      <c r="AI118" s="111"/>
      <c r="AJ118" s="111"/>
      <c r="AK118" s="111"/>
      <c r="AL118" s="111"/>
      <c r="AM118" s="111"/>
      <c r="AN118" s="111"/>
      <c r="AO118" s="111"/>
      <c r="AP118" s="111"/>
      <c r="AQ118" s="111"/>
      <c r="AR118" s="111"/>
      <c r="AS118" s="111"/>
      <c r="AT118" s="111"/>
      <c r="AU118" s="111"/>
      <c r="AV118" s="111"/>
      <c r="AW118" s="111"/>
      <c r="AX118" s="111"/>
      <c r="AY118" s="111"/>
      <c r="AZ118" s="111"/>
      <c r="BA118" s="146"/>
      <c r="BB118" s="104" t="s">
        <v>98</v>
      </c>
      <c r="BC118" s="72" t="s">
        <v>93</v>
      </c>
      <c r="BD118" s="72" t="s">
        <v>509</v>
      </c>
      <c r="BE118" s="72" t="s">
        <v>415</v>
      </c>
      <c r="BF118" s="146"/>
      <c r="BG118" s="112"/>
      <c r="BH118" s="113"/>
      <c r="BI118" s="146"/>
      <c r="BJ118" s="105"/>
      <c r="BK118" s="113"/>
      <c r="BL118" s="113"/>
      <c r="BM118" s="105"/>
      <c r="BN118" s="113"/>
      <c r="BO118" s="152"/>
      <c r="BP118" s="146"/>
      <c r="BQ118" s="112" t="s">
        <v>113</v>
      </c>
      <c r="BR118" s="113"/>
      <c r="BS118" s="105"/>
      <c r="BT118" s="146"/>
      <c r="BU118" s="105"/>
      <c r="BV118" s="105"/>
      <c r="BW118" s="112"/>
      <c r="BX118" s="113"/>
      <c r="BY118" s="105"/>
      <c r="BZ118" s="113"/>
      <c r="CA118" s="113"/>
      <c r="CB118" s="105"/>
      <c r="CC118" s="113"/>
      <c r="CD118" s="152"/>
      <c r="CE118" s="112"/>
      <c r="CF118" s="113"/>
      <c r="CG118" s="105"/>
      <c r="CH118" s="146"/>
      <c r="CI118" s="105"/>
      <c r="CJ118" s="105"/>
      <c r="CK118" s="112"/>
      <c r="CL118" s="113"/>
      <c r="CM118" s="105"/>
      <c r="CN118" s="152"/>
      <c r="CO118" s="152"/>
      <c r="CP118" s="105"/>
      <c r="CQ118" s="113"/>
      <c r="CR118" s="152"/>
      <c r="CS118" s="112"/>
      <c r="CT118" s="113"/>
      <c r="CU118" s="105"/>
      <c r="CV118" s="146"/>
      <c r="CW118" s="105"/>
      <c r="CX118" s="105"/>
      <c r="CY118" s="112"/>
      <c r="CZ118" s="113"/>
      <c r="DA118" s="105"/>
      <c r="DB118" s="113"/>
      <c r="DC118" s="113"/>
      <c r="DD118" s="105"/>
      <c r="DE118" s="113"/>
      <c r="DF118" s="113"/>
      <c r="DG118" s="112"/>
      <c r="DH118" s="113"/>
      <c r="DI118" s="105"/>
      <c r="DJ118" s="146"/>
      <c r="DK118" s="105"/>
      <c r="DL118" s="105"/>
      <c r="DM118" s="112"/>
      <c r="DN118" s="113"/>
      <c r="DO118" s="105"/>
      <c r="DP118" s="113"/>
      <c r="DQ118" s="113"/>
      <c r="DR118" s="105"/>
      <c r="DS118" s="113"/>
      <c r="DT118" s="113"/>
      <c r="DU118" s="112"/>
      <c r="DV118" s="113"/>
      <c r="DW118" s="105"/>
      <c r="DX118" s="146"/>
      <c r="DY118" s="105"/>
      <c r="DZ118" s="105"/>
      <c r="EA118" s="112"/>
      <c r="EB118" s="113"/>
      <c r="EC118" s="105"/>
      <c r="ED118" s="113"/>
      <c r="EE118" s="113"/>
      <c r="EF118" s="105"/>
      <c r="EG118" s="113"/>
      <c r="EH118" s="113"/>
      <c r="EI118" s="112"/>
      <c r="EJ118" s="113"/>
      <c r="EK118" s="105"/>
      <c r="EL118" s="146"/>
      <c r="EM118" s="72" t="s">
        <v>115</v>
      </c>
      <c r="EN118" s="74">
        <v>2250</v>
      </c>
      <c r="EO118" s="73"/>
      <c r="EP118" s="72" t="s">
        <v>77</v>
      </c>
      <c r="EQ118" s="72"/>
      <c r="ER118" s="75"/>
      <c r="ES118" s="76"/>
      <c r="ET118" s="77">
        <v>1</v>
      </c>
      <c r="EU118" s="77"/>
      <c r="EV118" s="78"/>
      <c r="EW118" s="72"/>
      <c r="EX118" s="72"/>
      <c r="EY118" s="72" t="s">
        <v>100</v>
      </c>
      <c r="EZ118" s="72" t="s">
        <v>114</v>
      </c>
      <c r="FA118" s="72"/>
      <c r="FB118" s="78"/>
      <c r="FC118" s="78"/>
      <c r="FD118" s="146"/>
      <c r="FE118" s="78"/>
      <c r="FF118" s="78"/>
      <c r="FG118" s="78"/>
      <c r="FH118" s="78"/>
      <c r="FI118" s="78"/>
      <c r="FJ118" s="78"/>
      <c r="FK118" s="78"/>
      <c r="FL118" s="78"/>
      <c r="FM118" s="78"/>
      <c r="FN118" s="78"/>
      <c r="FO118" s="146"/>
      <c r="FP118" s="78"/>
      <c r="FQ118" s="78"/>
      <c r="FR118" s="78"/>
      <c r="FS118" s="78"/>
      <c r="FT118" s="78"/>
      <c r="FU118" s="78"/>
      <c r="FV118" s="78"/>
      <c r="FW118" s="78"/>
      <c r="FX118" s="78"/>
      <c r="FY118" s="78"/>
    </row>
    <row r="119" spans="1:181" s="71" customFormat="1" ht="16.350000000000001" customHeight="1" x14ac:dyDescent="0.25">
      <c r="A119" s="109"/>
      <c r="B119" s="70"/>
      <c r="C119" s="110"/>
      <c r="D119" s="110"/>
      <c r="E119" s="146"/>
      <c r="F119" s="109" t="str">
        <f>mehrsprachigkeitBegriffsrückgabe(gewählteSpracheZurückgeben(), "Product (foreign language)")</f>
        <v>Produkt (Fremdsprache)</v>
      </c>
      <c r="G119" s="111"/>
      <c r="H119" s="111" t="s">
        <v>246</v>
      </c>
      <c r="I119" s="111" t="s">
        <v>94</v>
      </c>
      <c r="J119" s="111" t="s">
        <v>476</v>
      </c>
      <c r="K119" s="111"/>
      <c r="L119" s="146"/>
      <c r="M119" s="149"/>
      <c r="N119" s="111"/>
      <c r="O119" s="111"/>
      <c r="P119" s="111"/>
      <c r="Q119" s="111"/>
      <c r="R119" s="111"/>
      <c r="S119" s="111"/>
      <c r="T119" s="111"/>
      <c r="U119" s="111"/>
      <c r="V119" s="111"/>
      <c r="W119" s="111"/>
      <c r="X119" s="111"/>
      <c r="Y119" s="111"/>
      <c r="Z119" s="111"/>
      <c r="AA119" s="111"/>
      <c r="AB119" s="111"/>
      <c r="AC119" s="111"/>
      <c r="AD119" s="111"/>
      <c r="AE119" s="111"/>
      <c r="AF119" s="111"/>
      <c r="AG119" s="111"/>
      <c r="AH119" s="111"/>
      <c r="AI119" s="111"/>
      <c r="AJ119" s="111"/>
      <c r="AK119" s="111"/>
      <c r="AL119" s="111"/>
      <c r="AM119" s="111"/>
      <c r="AN119" s="111"/>
      <c r="AO119" s="111"/>
      <c r="AP119" s="111"/>
      <c r="AQ119" s="111"/>
      <c r="AR119" s="111"/>
      <c r="AS119" s="111"/>
      <c r="AT119" s="111"/>
      <c r="AU119" s="111"/>
      <c r="AV119" s="111"/>
      <c r="AW119" s="111"/>
      <c r="AX119" s="111"/>
      <c r="AY119" s="111"/>
      <c r="AZ119" s="111"/>
      <c r="BA119" s="146"/>
      <c r="BB119" s="104" t="s">
        <v>99</v>
      </c>
      <c r="BC119" s="72" t="s">
        <v>95</v>
      </c>
      <c r="BD119" s="72"/>
      <c r="BE119" s="72"/>
      <c r="BF119" s="146"/>
      <c r="BG119" s="112"/>
      <c r="BH119" s="113"/>
      <c r="BI119" s="146"/>
      <c r="BJ119" s="105"/>
      <c r="BK119" s="113"/>
      <c r="BL119" s="113"/>
      <c r="BM119" s="105"/>
      <c r="BN119" s="113"/>
      <c r="BO119" s="113"/>
      <c r="BP119" s="146"/>
      <c r="BQ119" s="112" t="s">
        <v>113</v>
      </c>
      <c r="BR119" s="113"/>
      <c r="BS119" s="105"/>
      <c r="BT119" s="146"/>
      <c r="BU119" s="105"/>
      <c r="BV119" s="105"/>
      <c r="BW119" s="112"/>
      <c r="BX119" s="113"/>
      <c r="BY119" s="105"/>
      <c r="BZ119" s="113"/>
      <c r="CA119" s="113"/>
      <c r="CB119" s="105"/>
      <c r="CC119" s="113"/>
      <c r="CD119" s="113"/>
      <c r="CE119" s="112"/>
      <c r="CF119" s="113"/>
      <c r="CG119" s="105"/>
      <c r="CH119" s="146"/>
      <c r="CI119" s="105"/>
      <c r="CJ119" s="105"/>
      <c r="CK119" s="112"/>
      <c r="CL119" s="113"/>
      <c r="CM119" s="105"/>
      <c r="CN119" s="113"/>
      <c r="CO119" s="113"/>
      <c r="CP119" s="105"/>
      <c r="CQ119" s="113"/>
      <c r="CR119" s="113"/>
      <c r="CS119" s="112"/>
      <c r="CT119" s="113"/>
      <c r="CU119" s="105"/>
      <c r="CV119" s="146"/>
      <c r="CW119" s="105"/>
      <c r="CX119" s="105"/>
      <c r="CY119" s="112"/>
      <c r="CZ119" s="113"/>
      <c r="DA119" s="105"/>
      <c r="DB119" s="113"/>
      <c r="DC119" s="113"/>
      <c r="DD119" s="105"/>
      <c r="DE119" s="113"/>
      <c r="DF119" s="113"/>
      <c r="DG119" s="112"/>
      <c r="DH119" s="113"/>
      <c r="DI119" s="105"/>
      <c r="DJ119" s="146"/>
      <c r="DK119" s="105"/>
      <c r="DL119" s="105"/>
      <c r="DM119" s="112"/>
      <c r="DN119" s="113"/>
      <c r="DO119" s="105"/>
      <c r="DP119" s="113"/>
      <c r="DQ119" s="113"/>
      <c r="DR119" s="105"/>
      <c r="DS119" s="113"/>
      <c r="DT119" s="113"/>
      <c r="DU119" s="112"/>
      <c r="DV119" s="113"/>
      <c r="DW119" s="105"/>
      <c r="DX119" s="146"/>
      <c r="DY119" s="105"/>
      <c r="DZ119" s="105"/>
      <c r="EA119" s="112"/>
      <c r="EB119" s="113"/>
      <c r="EC119" s="105"/>
      <c r="ED119" s="113"/>
      <c r="EE119" s="113"/>
      <c r="EF119" s="105"/>
      <c r="EG119" s="113"/>
      <c r="EH119" s="113"/>
      <c r="EI119" s="112"/>
      <c r="EJ119" s="113"/>
      <c r="EK119" s="105"/>
      <c r="EL119" s="146"/>
      <c r="EM119" s="72"/>
      <c r="EN119" s="74"/>
      <c r="EO119" s="73"/>
      <c r="EP119" s="72" t="s">
        <v>96</v>
      </c>
      <c r="EQ119" s="72"/>
      <c r="ER119" s="75"/>
      <c r="ES119" s="76"/>
      <c r="ET119" s="77"/>
      <c r="EU119" s="77"/>
      <c r="EV119" s="78"/>
      <c r="EW119" s="72"/>
      <c r="EX119" s="72"/>
      <c r="EY119" s="72"/>
      <c r="EZ119" s="72"/>
      <c r="FA119" s="72"/>
      <c r="FB119" s="78"/>
      <c r="FC119" s="78"/>
      <c r="FD119" s="146"/>
      <c r="FE119" s="78"/>
      <c r="FF119" s="78"/>
      <c r="FG119" s="78"/>
      <c r="FO119" s="146"/>
      <c r="FP119" s="78"/>
      <c r="FQ119" s="78"/>
      <c r="FR119" s="78"/>
    </row>
    <row r="120" spans="1:181" s="71" customFormat="1" ht="16.350000000000001" customHeight="1" x14ac:dyDescent="0.25">
      <c r="A120" s="109"/>
      <c r="B120" s="70"/>
      <c r="C120" s="110"/>
      <c r="D120" s="110">
        <v>1</v>
      </c>
      <c r="E120" s="146"/>
      <c r="F120" s="109" t="str">
        <f>mehrsprachigkeitBegriffsrückgabe(gewählteSpracheZurückgeben(), "Product")</f>
        <v>Produkt</v>
      </c>
      <c r="G120" s="111" t="s">
        <v>247</v>
      </c>
      <c r="H120" s="111"/>
      <c r="I120" s="111" t="s">
        <v>86</v>
      </c>
      <c r="J120" s="111" t="s">
        <v>477</v>
      </c>
      <c r="K120" s="111"/>
      <c r="L120" s="146"/>
      <c r="M120" s="149" t="s">
        <v>392</v>
      </c>
      <c r="N120" s="111" t="s">
        <v>398</v>
      </c>
      <c r="O120" s="114"/>
      <c r="P120" s="114"/>
      <c r="Q120" s="111"/>
      <c r="R120" s="111"/>
      <c r="S120" s="111"/>
      <c r="T120" s="111"/>
      <c r="U120" s="111"/>
      <c r="V120" s="111"/>
      <c r="W120" s="111"/>
      <c r="X120" s="111"/>
      <c r="Y120" s="111"/>
      <c r="Z120" s="111"/>
      <c r="AA120" s="111"/>
      <c r="AB120" s="111"/>
      <c r="AC120" s="111"/>
      <c r="AD120" s="111"/>
      <c r="AE120" s="111"/>
      <c r="AF120" s="111"/>
      <c r="AG120" s="111"/>
      <c r="AH120" s="111"/>
      <c r="AI120" s="111"/>
      <c r="AJ120" s="111"/>
      <c r="AK120" s="111"/>
      <c r="AL120" s="111"/>
      <c r="AM120" s="111"/>
      <c r="AN120" s="111"/>
      <c r="AO120" s="111"/>
      <c r="AP120" s="111"/>
      <c r="AQ120" s="111"/>
      <c r="AR120" s="111"/>
      <c r="AS120" s="111"/>
      <c r="AT120" s="111"/>
      <c r="AU120" s="111"/>
      <c r="AV120" s="111"/>
      <c r="AW120" s="111"/>
      <c r="AX120" s="111"/>
      <c r="AY120" s="111"/>
      <c r="AZ120" s="111"/>
      <c r="BA120" s="146"/>
      <c r="BB120" s="104" t="s">
        <v>98</v>
      </c>
      <c r="BC120" s="72" t="s">
        <v>93</v>
      </c>
      <c r="BD120" s="72" t="s">
        <v>509</v>
      </c>
      <c r="BE120" s="72" t="s">
        <v>412</v>
      </c>
      <c r="BF120" s="146"/>
      <c r="BG120" s="112"/>
      <c r="BH120" s="113"/>
      <c r="BI120" s="146"/>
      <c r="BJ120" s="105"/>
      <c r="BK120" s="113"/>
      <c r="BL120" s="113"/>
      <c r="BM120" s="105"/>
      <c r="BN120" s="113"/>
      <c r="BO120" s="152"/>
      <c r="BP120" s="146"/>
      <c r="BQ120" s="112" t="s">
        <v>113</v>
      </c>
      <c r="BR120" s="113"/>
      <c r="BS120" s="105"/>
      <c r="BT120" s="146"/>
      <c r="BU120" s="105"/>
      <c r="BV120" s="105"/>
      <c r="BW120" s="112"/>
      <c r="BX120" s="113"/>
      <c r="BY120" s="105"/>
      <c r="BZ120" s="113"/>
      <c r="CA120" s="113"/>
      <c r="CB120" s="105"/>
      <c r="CC120" s="113"/>
      <c r="CD120" s="152"/>
      <c r="CE120" s="112"/>
      <c r="CF120" s="113"/>
      <c r="CG120" s="105"/>
      <c r="CH120" s="146"/>
      <c r="CI120" s="105"/>
      <c r="CJ120" s="105"/>
      <c r="CK120" s="112"/>
      <c r="CL120" s="113"/>
      <c r="CM120" s="105"/>
      <c r="CN120" s="152"/>
      <c r="CO120" s="152"/>
      <c r="CP120" s="105"/>
      <c r="CQ120" s="113"/>
      <c r="CR120" s="152"/>
      <c r="CS120" s="112"/>
      <c r="CT120" s="113"/>
      <c r="CU120" s="105"/>
      <c r="CV120" s="146"/>
      <c r="CW120" s="105"/>
      <c r="CX120" s="105"/>
      <c r="CY120" s="112"/>
      <c r="CZ120" s="113"/>
      <c r="DA120" s="105"/>
      <c r="DB120" s="113"/>
      <c r="DC120" s="113"/>
      <c r="DD120" s="105"/>
      <c r="DE120" s="113"/>
      <c r="DF120" s="113"/>
      <c r="DG120" s="112"/>
      <c r="DH120" s="113"/>
      <c r="DI120" s="105"/>
      <c r="DJ120" s="146"/>
      <c r="DK120" s="105"/>
      <c r="DL120" s="105"/>
      <c r="DM120" s="112"/>
      <c r="DN120" s="113"/>
      <c r="DO120" s="105"/>
      <c r="DP120" s="113"/>
      <c r="DQ120" s="113"/>
      <c r="DR120" s="105"/>
      <c r="DS120" s="113"/>
      <c r="DT120" s="113"/>
      <c r="DU120" s="112"/>
      <c r="DV120" s="113"/>
      <c r="DW120" s="105"/>
      <c r="DX120" s="146"/>
      <c r="DY120" s="105"/>
      <c r="DZ120" s="105"/>
      <c r="EA120" s="112"/>
      <c r="EB120" s="113"/>
      <c r="EC120" s="105"/>
      <c r="ED120" s="113"/>
      <c r="EE120" s="113"/>
      <c r="EF120" s="105"/>
      <c r="EG120" s="113"/>
      <c r="EH120" s="113"/>
      <c r="EI120" s="112"/>
      <c r="EJ120" s="113"/>
      <c r="EK120" s="105"/>
      <c r="EL120" s="146"/>
      <c r="EM120" s="72" t="s">
        <v>115</v>
      </c>
      <c r="EN120" s="74">
        <v>2250</v>
      </c>
      <c r="EO120" s="73"/>
      <c r="EP120" s="72" t="s">
        <v>77</v>
      </c>
      <c r="EQ120" s="72"/>
      <c r="ER120" s="75"/>
      <c r="ES120" s="76"/>
      <c r="ET120" s="77">
        <v>1</v>
      </c>
      <c r="EU120" s="77"/>
      <c r="EV120" s="78"/>
      <c r="EW120" s="72"/>
      <c r="EX120" s="72"/>
      <c r="EY120" s="72" t="s">
        <v>100</v>
      </c>
      <c r="EZ120" s="72" t="s">
        <v>114</v>
      </c>
      <c r="FA120" s="72"/>
      <c r="FB120" s="78"/>
      <c r="FC120" s="78"/>
      <c r="FD120" s="146"/>
      <c r="FE120" s="78"/>
      <c r="FF120" s="78"/>
      <c r="FG120" s="78"/>
      <c r="FH120" s="78"/>
      <c r="FI120" s="78"/>
      <c r="FJ120" s="78"/>
      <c r="FK120" s="78"/>
      <c r="FL120" s="78"/>
      <c r="FM120" s="78"/>
      <c r="FN120" s="78"/>
      <c r="FO120" s="146"/>
      <c r="FP120" s="78"/>
      <c r="FQ120" s="78"/>
      <c r="FR120" s="78"/>
      <c r="FS120" s="78"/>
      <c r="FT120" s="78"/>
      <c r="FU120" s="78"/>
      <c r="FV120" s="78"/>
      <c r="FW120" s="78"/>
      <c r="FX120" s="78"/>
      <c r="FY120" s="78"/>
    </row>
    <row r="121" spans="1:181" s="71" customFormat="1" ht="16.350000000000001" customHeight="1" x14ac:dyDescent="0.25">
      <c r="A121" s="109"/>
      <c r="B121" s="70"/>
      <c r="C121" s="110"/>
      <c r="D121" s="110"/>
      <c r="E121" s="146"/>
      <c r="F121" s="109" t="str">
        <f>mehrsprachigkeitBegriffsrückgabe(gewählteSpracheZurückgeben(), "Product (foreign language)")</f>
        <v>Produkt (Fremdsprache)</v>
      </c>
      <c r="G121" s="111"/>
      <c r="H121" s="111" t="s">
        <v>247</v>
      </c>
      <c r="I121" s="111" t="s">
        <v>94</v>
      </c>
      <c r="J121" s="111" t="s">
        <v>478</v>
      </c>
      <c r="K121" s="111"/>
      <c r="L121" s="146"/>
      <c r="M121" s="149"/>
      <c r="N121" s="111"/>
      <c r="O121" s="111"/>
      <c r="P121" s="111"/>
      <c r="Q121" s="111"/>
      <c r="R121" s="111"/>
      <c r="S121" s="111"/>
      <c r="T121" s="111"/>
      <c r="U121" s="111"/>
      <c r="V121" s="111"/>
      <c r="W121" s="111"/>
      <c r="X121" s="111"/>
      <c r="Y121" s="111"/>
      <c r="Z121" s="111"/>
      <c r="AA121" s="111"/>
      <c r="AB121" s="111"/>
      <c r="AC121" s="111"/>
      <c r="AD121" s="111"/>
      <c r="AE121" s="111"/>
      <c r="AF121" s="111"/>
      <c r="AG121" s="111"/>
      <c r="AH121" s="111"/>
      <c r="AI121" s="111"/>
      <c r="AJ121" s="111"/>
      <c r="AK121" s="111"/>
      <c r="AL121" s="111"/>
      <c r="AM121" s="111"/>
      <c r="AN121" s="111"/>
      <c r="AO121" s="111"/>
      <c r="AP121" s="111"/>
      <c r="AQ121" s="111"/>
      <c r="AR121" s="111"/>
      <c r="AS121" s="111"/>
      <c r="AT121" s="111"/>
      <c r="AU121" s="111"/>
      <c r="AV121" s="111"/>
      <c r="AW121" s="111"/>
      <c r="AX121" s="111"/>
      <c r="AY121" s="111"/>
      <c r="AZ121" s="111"/>
      <c r="BA121" s="146"/>
      <c r="BB121" s="104" t="s">
        <v>99</v>
      </c>
      <c r="BC121" s="72" t="s">
        <v>95</v>
      </c>
      <c r="BD121" s="72"/>
      <c r="BE121" s="72"/>
      <c r="BF121" s="146"/>
      <c r="BG121" s="112"/>
      <c r="BH121" s="113"/>
      <c r="BI121" s="146"/>
      <c r="BJ121" s="105"/>
      <c r="BK121" s="113"/>
      <c r="BL121" s="113"/>
      <c r="BM121" s="105"/>
      <c r="BN121" s="113"/>
      <c r="BO121" s="113"/>
      <c r="BP121" s="146"/>
      <c r="BQ121" s="112" t="s">
        <v>113</v>
      </c>
      <c r="BR121" s="113"/>
      <c r="BS121" s="105"/>
      <c r="BT121" s="146"/>
      <c r="BU121" s="105"/>
      <c r="BV121" s="105"/>
      <c r="BW121" s="112"/>
      <c r="BX121" s="113"/>
      <c r="BY121" s="105"/>
      <c r="BZ121" s="113"/>
      <c r="CA121" s="113"/>
      <c r="CB121" s="105"/>
      <c r="CC121" s="113"/>
      <c r="CD121" s="113"/>
      <c r="CE121" s="112"/>
      <c r="CF121" s="113"/>
      <c r="CG121" s="105"/>
      <c r="CH121" s="146"/>
      <c r="CI121" s="105"/>
      <c r="CJ121" s="105"/>
      <c r="CK121" s="112"/>
      <c r="CL121" s="113"/>
      <c r="CM121" s="105"/>
      <c r="CN121" s="113"/>
      <c r="CO121" s="113"/>
      <c r="CP121" s="105"/>
      <c r="CQ121" s="113"/>
      <c r="CR121" s="113"/>
      <c r="CS121" s="112"/>
      <c r="CT121" s="113"/>
      <c r="CU121" s="105"/>
      <c r="CV121" s="146"/>
      <c r="CW121" s="105"/>
      <c r="CX121" s="105"/>
      <c r="CY121" s="112"/>
      <c r="CZ121" s="113"/>
      <c r="DA121" s="105"/>
      <c r="DB121" s="113"/>
      <c r="DC121" s="113"/>
      <c r="DD121" s="105"/>
      <c r="DE121" s="113"/>
      <c r="DF121" s="113"/>
      <c r="DG121" s="112"/>
      <c r="DH121" s="113"/>
      <c r="DI121" s="105"/>
      <c r="DJ121" s="146"/>
      <c r="DK121" s="105"/>
      <c r="DL121" s="105"/>
      <c r="DM121" s="112"/>
      <c r="DN121" s="113"/>
      <c r="DO121" s="105"/>
      <c r="DP121" s="113"/>
      <c r="DQ121" s="113"/>
      <c r="DR121" s="105"/>
      <c r="DS121" s="113"/>
      <c r="DT121" s="113"/>
      <c r="DU121" s="112"/>
      <c r="DV121" s="113"/>
      <c r="DW121" s="105"/>
      <c r="DX121" s="146"/>
      <c r="DY121" s="105"/>
      <c r="DZ121" s="105"/>
      <c r="EA121" s="112"/>
      <c r="EB121" s="113"/>
      <c r="EC121" s="105"/>
      <c r="ED121" s="113"/>
      <c r="EE121" s="113"/>
      <c r="EF121" s="105"/>
      <c r="EG121" s="113"/>
      <c r="EH121" s="113"/>
      <c r="EI121" s="112"/>
      <c r="EJ121" s="113"/>
      <c r="EK121" s="105"/>
      <c r="EL121" s="146"/>
      <c r="EM121" s="72"/>
      <c r="EN121" s="74"/>
      <c r="EO121" s="73"/>
      <c r="EP121" s="72" t="s">
        <v>96</v>
      </c>
      <c r="EQ121" s="72"/>
      <c r="ER121" s="75"/>
      <c r="ES121" s="76"/>
      <c r="ET121" s="77"/>
      <c r="EU121" s="77"/>
      <c r="EV121" s="78"/>
      <c r="EW121" s="72"/>
      <c r="EX121" s="72"/>
      <c r="EY121" s="72"/>
      <c r="EZ121" s="72"/>
      <c r="FA121" s="72"/>
      <c r="FB121" s="78"/>
      <c r="FC121" s="78"/>
      <c r="FD121" s="146"/>
      <c r="FE121" s="78"/>
      <c r="FF121" s="78"/>
      <c r="FG121" s="78"/>
      <c r="FO121" s="146"/>
      <c r="FP121" s="78"/>
      <c r="FQ121" s="78"/>
      <c r="FR121" s="78"/>
    </row>
    <row r="122" spans="1:181" s="71" customFormat="1" ht="16.350000000000001" customHeight="1" x14ac:dyDescent="0.25">
      <c r="A122" s="109"/>
      <c r="B122" s="70"/>
      <c r="C122" s="110"/>
      <c r="D122" s="110">
        <v>1</v>
      </c>
      <c r="E122" s="146"/>
      <c r="F122" s="109" t="str">
        <f>mehrsprachigkeitBegriffsrückgabe(gewählteSpracheZurückgeben(), "Product")</f>
        <v>Produkt</v>
      </c>
      <c r="G122" s="111" t="s">
        <v>248</v>
      </c>
      <c r="H122" s="111"/>
      <c r="I122" s="111" t="s">
        <v>86</v>
      </c>
      <c r="J122" s="111" t="s">
        <v>479</v>
      </c>
      <c r="K122" s="111"/>
      <c r="L122" s="146"/>
      <c r="M122" s="149" t="s">
        <v>392</v>
      </c>
      <c r="N122" s="111" t="s">
        <v>396</v>
      </c>
      <c r="O122" s="114"/>
      <c r="P122" s="114"/>
      <c r="Q122" s="111"/>
      <c r="R122" s="111"/>
      <c r="S122" s="111"/>
      <c r="T122" s="111"/>
      <c r="U122" s="111"/>
      <c r="V122" s="111"/>
      <c r="W122" s="111"/>
      <c r="X122" s="111"/>
      <c r="Y122" s="111"/>
      <c r="Z122" s="111"/>
      <c r="AA122" s="111"/>
      <c r="AB122" s="111"/>
      <c r="AC122" s="111"/>
      <c r="AD122" s="111"/>
      <c r="AE122" s="111"/>
      <c r="AF122" s="111"/>
      <c r="AG122" s="111"/>
      <c r="AH122" s="111"/>
      <c r="AI122" s="111"/>
      <c r="AJ122" s="111"/>
      <c r="AK122" s="111"/>
      <c r="AL122" s="111"/>
      <c r="AM122" s="111"/>
      <c r="AN122" s="111"/>
      <c r="AO122" s="111"/>
      <c r="AP122" s="111"/>
      <c r="AQ122" s="111"/>
      <c r="AR122" s="111"/>
      <c r="AS122" s="111"/>
      <c r="AT122" s="111"/>
      <c r="AU122" s="111"/>
      <c r="AV122" s="111"/>
      <c r="AW122" s="111"/>
      <c r="AX122" s="111"/>
      <c r="AY122" s="111"/>
      <c r="AZ122" s="111"/>
      <c r="BA122" s="146"/>
      <c r="BB122" s="104" t="s">
        <v>98</v>
      </c>
      <c r="BC122" s="72" t="s">
        <v>93</v>
      </c>
      <c r="BD122" s="72" t="s">
        <v>509</v>
      </c>
      <c r="BE122" s="72" t="s">
        <v>412</v>
      </c>
      <c r="BF122" s="146"/>
      <c r="BG122" s="112"/>
      <c r="BH122" s="113"/>
      <c r="BI122" s="146"/>
      <c r="BJ122" s="105"/>
      <c r="BK122" s="113"/>
      <c r="BL122" s="113"/>
      <c r="BM122" s="105"/>
      <c r="BN122" s="113"/>
      <c r="BO122" s="152"/>
      <c r="BP122" s="146"/>
      <c r="BQ122" s="112" t="s">
        <v>113</v>
      </c>
      <c r="BR122" s="113"/>
      <c r="BS122" s="105"/>
      <c r="BT122" s="146"/>
      <c r="BU122" s="105"/>
      <c r="BV122" s="105"/>
      <c r="BW122" s="112"/>
      <c r="BX122" s="113"/>
      <c r="BY122" s="105"/>
      <c r="BZ122" s="113"/>
      <c r="CA122" s="113"/>
      <c r="CB122" s="105"/>
      <c r="CC122" s="113"/>
      <c r="CD122" s="152"/>
      <c r="CE122" s="112"/>
      <c r="CF122" s="113"/>
      <c r="CG122" s="105"/>
      <c r="CH122" s="146"/>
      <c r="CI122" s="105"/>
      <c r="CJ122" s="105"/>
      <c r="CK122" s="112"/>
      <c r="CL122" s="113"/>
      <c r="CM122" s="105"/>
      <c r="CN122" s="152"/>
      <c r="CO122" s="152"/>
      <c r="CP122" s="105"/>
      <c r="CQ122" s="113"/>
      <c r="CR122" s="152"/>
      <c r="CS122" s="112"/>
      <c r="CT122" s="113"/>
      <c r="CU122" s="105"/>
      <c r="CV122" s="146"/>
      <c r="CW122" s="105"/>
      <c r="CX122" s="105"/>
      <c r="CY122" s="112"/>
      <c r="CZ122" s="113"/>
      <c r="DA122" s="105"/>
      <c r="DB122" s="113"/>
      <c r="DC122" s="113"/>
      <c r="DD122" s="105"/>
      <c r="DE122" s="113"/>
      <c r="DF122" s="113"/>
      <c r="DG122" s="112"/>
      <c r="DH122" s="113"/>
      <c r="DI122" s="105"/>
      <c r="DJ122" s="146"/>
      <c r="DK122" s="105"/>
      <c r="DL122" s="105"/>
      <c r="DM122" s="112"/>
      <c r="DN122" s="113"/>
      <c r="DO122" s="105"/>
      <c r="DP122" s="113"/>
      <c r="DQ122" s="113"/>
      <c r="DR122" s="105"/>
      <c r="DS122" s="113"/>
      <c r="DT122" s="113"/>
      <c r="DU122" s="112"/>
      <c r="DV122" s="113"/>
      <c r="DW122" s="105"/>
      <c r="DX122" s="146"/>
      <c r="DY122" s="105"/>
      <c r="DZ122" s="105"/>
      <c r="EA122" s="112"/>
      <c r="EB122" s="113"/>
      <c r="EC122" s="105"/>
      <c r="ED122" s="113"/>
      <c r="EE122" s="113"/>
      <c r="EF122" s="105"/>
      <c r="EG122" s="113"/>
      <c r="EH122" s="113"/>
      <c r="EI122" s="112"/>
      <c r="EJ122" s="113"/>
      <c r="EK122" s="105"/>
      <c r="EL122" s="146"/>
      <c r="EM122" s="72" t="s">
        <v>115</v>
      </c>
      <c r="EN122" s="74">
        <v>2250</v>
      </c>
      <c r="EO122" s="73"/>
      <c r="EP122" s="72" t="s">
        <v>77</v>
      </c>
      <c r="EQ122" s="72"/>
      <c r="ER122" s="75"/>
      <c r="ES122" s="76"/>
      <c r="ET122" s="77"/>
      <c r="EU122" s="77"/>
      <c r="EV122" s="78"/>
      <c r="EW122" s="72"/>
      <c r="EX122" s="72"/>
      <c r="EY122" s="72" t="s">
        <v>100</v>
      </c>
      <c r="EZ122" s="72" t="s">
        <v>114</v>
      </c>
      <c r="FA122" s="72"/>
      <c r="FB122" s="78"/>
      <c r="FC122" s="78"/>
      <c r="FD122" s="146"/>
      <c r="FE122" s="78"/>
      <c r="FF122" s="78"/>
      <c r="FG122" s="78"/>
      <c r="FH122" s="78"/>
      <c r="FI122" s="78"/>
      <c r="FJ122" s="78"/>
      <c r="FK122" s="78"/>
      <c r="FL122" s="78"/>
      <c r="FM122" s="78"/>
      <c r="FN122" s="78"/>
      <c r="FO122" s="146"/>
      <c r="FP122" s="78"/>
      <c r="FQ122" s="78"/>
      <c r="FR122" s="78"/>
      <c r="FS122" s="78"/>
      <c r="FT122" s="78"/>
      <c r="FU122" s="78"/>
      <c r="FV122" s="78"/>
      <c r="FW122" s="78"/>
      <c r="FX122" s="78"/>
      <c r="FY122" s="78"/>
    </row>
    <row r="123" spans="1:181" s="71" customFormat="1" ht="16.350000000000001" customHeight="1" x14ac:dyDescent="0.25">
      <c r="A123" s="109"/>
      <c r="B123" s="70"/>
      <c r="C123" s="110"/>
      <c r="D123" s="110"/>
      <c r="E123" s="146"/>
      <c r="F123" s="109" t="str">
        <f>mehrsprachigkeitBegriffsrückgabe(gewählteSpracheZurückgeben(), "Product (foreign language)")</f>
        <v>Produkt (Fremdsprache)</v>
      </c>
      <c r="G123" s="111"/>
      <c r="H123" s="111" t="s">
        <v>248</v>
      </c>
      <c r="I123" s="111" t="s">
        <v>94</v>
      </c>
      <c r="J123" s="111" t="s">
        <v>480</v>
      </c>
      <c r="K123" s="111"/>
      <c r="L123" s="146"/>
      <c r="M123" s="149"/>
      <c r="N123" s="111"/>
      <c r="O123" s="111"/>
      <c r="P123" s="111"/>
      <c r="Q123" s="111"/>
      <c r="R123" s="111"/>
      <c r="S123" s="111"/>
      <c r="T123" s="111"/>
      <c r="U123" s="111"/>
      <c r="V123" s="111"/>
      <c r="W123" s="111"/>
      <c r="X123" s="111"/>
      <c r="Y123" s="111"/>
      <c r="Z123" s="111"/>
      <c r="AA123" s="111"/>
      <c r="AB123" s="111"/>
      <c r="AC123" s="111"/>
      <c r="AD123" s="111"/>
      <c r="AE123" s="111"/>
      <c r="AF123" s="111"/>
      <c r="AG123" s="111"/>
      <c r="AH123" s="111"/>
      <c r="AI123" s="111"/>
      <c r="AJ123" s="111"/>
      <c r="AK123" s="111"/>
      <c r="AL123" s="111"/>
      <c r="AM123" s="111"/>
      <c r="AN123" s="111"/>
      <c r="AO123" s="111"/>
      <c r="AP123" s="111"/>
      <c r="AQ123" s="111"/>
      <c r="AR123" s="111"/>
      <c r="AS123" s="111"/>
      <c r="AT123" s="111"/>
      <c r="AU123" s="111"/>
      <c r="AV123" s="111"/>
      <c r="AW123" s="111"/>
      <c r="AX123" s="111"/>
      <c r="AY123" s="111"/>
      <c r="AZ123" s="111"/>
      <c r="BA123" s="146"/>
      <c r="BB123" s="104" t="s">
        <v>99</v>
      </c>
      <c r="BC123" s="72" t="s">
        <v>95</v>
      </c>
      <c r="BD123" s="72"/>
      <c r="BE123" s="72"/>
      <c r="BF123" s="146"/>
      <c r="BG123" s="112" t="s">
        <v>113</v>
      </c>
      <c r="BH123" s="113"/>
      <c r="BI123" s="146"/>
      <c r="BJ123" s="105"/>
      <c r="BK123" s="113"/>
      <c r="BL123" s="113"/>
      <c r="BM123" s="105"/>
      <c r="BN123" s="113"/>
      <c r="BO123" s="113"/>
      <c r="BP123" s="146"/>
      <c r="BQ123" s="112" t="s">
        <v>113</v>
      </c>
      <c r="BR123" s="113"/>
      <c r="BS123" s="105"/>
      <c r="BT123" s="146"/>
      <c r="BU123" s="105"/>
      <c r="BV123" s="105"/>
      <c r="BW123" s="112"/>
      <c r="BX123" s="113"/>
      <c r="BY123" s="105"/>
      <c r="BZ123" s="113"/>
      <c r="CA123" s="113"/>
      <c r="CB123" s="105"/>
      <c r="CC123" s="113"/>
      <c r="CD123" s="113"/>
      <c r="CE123" s="112"/>
      <c r="CF123" s="113"/>
      <c r="CG123" s="105"/>
      <c r="CH123" s="146"/>
      <c r="CI123" s="105"/>
      <c r="CJ123" s="105"/>
      <c r="CK123" s="112"/>
      <c r="CL123" s="113"/>
      <c r="CM123" s="105"/>
      <c r="CN123" s="113"/>
      <c r="CO123" s="113"/>
      <c r="CP123" s="105"/>
      <c r="CQ123" s="113"/>
      <c r="CR123" s="113"/>
      <c r="CS123" s="112"/>
      <c r="CT123" s="113"/>
      <c r="CU123" s="105"/>
      <c r="CV123" s="146"/>
      <c r="CW123" s="105"/>
      <c r="CX123" s="105"/>
      <c r="CY123" s="112"/>
      <c r="CZ123" s="113"/>
      <c r="DA123" s="105"/>
      <c r="DB123" s="113"/>
      <c r="DC123" s="113"/>
      <c r="DD123" s="105"/>
      <c r="DE123" s="113"/>
      <c r="DF123" s="113"/>
      <c r="DG123" s="112"/>
      <c r="DH123" s="113"/>
      <c r="DI123" s="105"/>
      <c r="DJ123" s="146"/>
      <c r="DK123" s="105"/>
      <c r="DL123" s="105"/>
      <c r="DM123" s="112"/>
      <c r="DN123" s="113"/>
      <c r="DO123" s="105"/>
      <c r="DP123" s="113"/>
      <c r="DQ123" s="113"/>
      <c r="DR123" s="105"/>
      <c r="DS123" s="113"/>
      <c r="DT123" s="113"/>
      <c r="DU123" s="112"/>
      <c r="DV123" s="113"/>
      <c r="DW123" s="105"/>
      <c r="DX123" s="146"/>
      <c r="DY123" s="105"/>
      <c r="DZ123" s="105"/>
      <c r="EA123" s="112"/>
      <c r="EB123" s="113"/>
      <c r="EC123" s="105"/>
      <c r="ED123" s="113"/>
      <c r="EE123" s="113"/>
      <c r="EF123" s="105"/>
      <c r="EG123" s="113"/>
      <c r="EH123" s="113"/>
      <c r="EI123" s="112"/>
      <c r="EJ123" s="113"/>
      <c r="EK123" s="105"/>
      <c r="EL123" s="146"/>
      <c r="EM123" s="72"/>
      <c r="EN123" s="74"/>
      <c r="EO123" s="73"/>
      <c r="EP123" s="72" t="s">
        <v>96</v>
      </c>
      <c r="EQ123" s="72"/>
      <c r="ER123" s="75"/>
      <c r="ES123" s="76"/>
      <c r="ET123" s="77"/>
      <c r="EU123" s="77"/>
      <c r="EV123" s="78"/>
      <c r="EW123" s="72"/>
      <c r="EX123" s="72"/>
      <c r="EY123" s="72"/>
      <c r="EZ123" s="72"/>
      <c r="FA123" s="72"/>
      <c r="FB123" s="78"/>
      <c r="FC123" s="78"/>
      <c r="FD123" s="146"/>
      <c r="FE123" s="78"/>
      <c r="FF123" s="78"/>
      <c r="FG123" s="78"/>
      <c r="FO123" s="146"/>
      <c r="FP123" s="78"/>
      <c r="FQ123" s="78"/>
      <c r="FR123" s="78"/>
    </row>
    <row r="124" spans="1:181" s="71" customFormat="1" x14ac:dyDescent="0.25">
      <c r="B124" s="70"/>
      <c r="C124" s="70"/>
      <c r="D124" s="70"/>
      <c r="E124" s="147"/>
      <c r="G124" s="72"/>
      <c r="H124" s="72"/>
      <c r="I124" s="72"/>
      <c r="J124" s="72"/>
      <c r="K124" s="72"/>
      <c r="L124" s="147"/>
      <c r="M124" s="150"/>
      <c r="N124" s="72"/>
      <c r="O124" s="72"/>
      <c r="P124" s="72"/>
      <c r="Q124" s="72"/>
      <c r="R124" s="72"/>
      <c r="S124" s="72"/>
      <c r="T124" s="72"/>
      <c r="U124" s="72"/>
      <c r="V124" s="72"/>
      <c r="W124" s="72"/>
      <c r="X124" s="72"/>
      <c r="Y124" s="72"/>
      <c r="Z124" s="72"/>
      <c r="AA124" s="72"/>
      <c r="AB124" s="72"/>
      <c r="AC124" s="72"/>
      <c r="AD124" s="72"/>
      <c r="AE124" s="72"/>
      <c r="AF124" s="72"/>
      <c r="AG124" s="72"/>
      <c r="AH124" s="72"/>
      <c r="AI124" s="72"/>
      <c r="AJ124" s="72"/>
      <c r="AK124" s="72"/>
      <c r="AL124" s="72"/>
      <c r="AM124" s="72"/>
      <c r="AN124" s="72"/>
      <c r="AO124" s="72"/>
      <c r="AP124" s="72"/>
      <c r="AQ124" s="72"/>
      <c r="AR124" s="72"/>
      <c r="AS124" s="72"/>
      <c r="AT124" s="72"/>
      <c r="AU124" s="72"/>
      <c r="AV124" s="72"/>
      <c r="AW124" s="72"/>
      <c r="AX124" s="72"/>
      <c r="AY124" s="72"/>
      <c r="AZ124" s="72"/>
      <c r="BA124" s="147"/>
      <c r="BB124" s="72"/>
      <c r="BC124" s="72"/>
      <c r="BD124" s="72"/>
      <c r="BE124" s="72"/>
      <c r="BF124" s="147"/>
      <c r="BG124" s="83"/>
      <c r="BH124" s="73"/>
      <c r="BI124" s="147"/>
      <c r="BJ124" s="77"/>
      <c r="BK124" s="73"/>
      <c r="BL124" s="73"/>
      <c r="BM124" s="77"/>
      <c r="BN124" s="73"/>
      <c r="BO124" s="73"/>
      <c r="BP124" s="147"/>
      <c r="BQ124" s="83"/>
      <c r="BR124" s="73"/>
      <c r="BS124" s="77"/>
      <c r="BT124" s="147"/>
      <c r="BU124" s="77"/>
      <c r="BV124" s="77"/>
      <c r="BW124" s="83"/>
      <c r="BX124" s="73"/>
      <c r="BY124" s="77"/>
      <c r="BZ124" s="73"/>
      <c r="CA124" s="73"/>
      <c r="CB124" s="77"/>
      <c r="CC124" s="73"/>
      <c r="CD124" s="73"/>
      <c r="CE124" s="83"/>
      <c r="CF124" s="73"/>
      <c r="CG124" s="77"/>
      <c r="CH124" s="147"/>
      <c r="CI124" s="77"/>
      <c r="CJ124" s="77"/>
      <c r="CK124" s="83"/>
      <c r="CL124" s="73"/>
      <c r="CM124" s="77"/>
      <c r="CN124" s="73"/>
      <c r="CO124" s="73"/>
      <c r="CP124" s="77"/>
      <c r="CQ124" s="73"/>
      <c r="CR124" s="73"/>
      <c r="CS124" s="83"/>
      <c r="CT124" s="73"/>
      <c r="CU124" s="77"/>
      <c r="CV124" s="147"/>
      <c r="CW124" s="77"/>
      <c r="CX124" s="77"/>
      <c r="CY124" s="83"/>
      <c r="CZ124" s="73"/>
      <c r="DA124" s="77"/>
      <c r="DB124" s="73"/>
      <c r="DC124" s="73"/>
      <c r="DD124" s="77"/>
      <c r="DE124" s="73"/>
      <c r="DF124" s="73"/>
      <c r="DG124" s="83"/>
      <c r="DH124" s="73"/>
      <c r="DI124" s="77"/>
      <c r="DJ124" s="147"/>
      <c r="DK124" s="77"/>
      <c r="DL124" s="77"/>
      <c r="DM124" s="83"/>
      <c r="DN124" s="73"/>
      <c r="DO124" s="77"/>
      <c r="DP124" s="73"/>
      <c r="DQ124" s="73"/>
      <c r="DR124" s="77"/>
      <c r="DS124" s="73"/>
      <c r="DT124" s="73"/>
      <c r="DU124" s="83"/>
      <c r="DV124" s="73"/>
      <c r="DW124" s="77"/>
      <c r="DX124" s="147"/>
      <c r="DY124" s="77"/>
      <c r="DZ124" s="77"/>
      <c r="EA124" s="83"/>
      <c r="EB124" s="73"/>
      <c r="EC124" s="77"/>
      <c r="ED124" s="73"/>
      <c r="EE124" s="73"/>
      <c r="EF124" s="77"/>
      <c r="EG124" s="73"/>
      <c r="EH124" s="73"/>
      <c r="EI124" s="83"/>
      <c r="EJ124" s="73"/>
      <c r="EK124" s="77"/>
      <c r="EL124" s="147"/>
      <c r="EM124" s="72"/>
      <c r="EN124" s="74"/>
      <c r="EO124" s="73"/>
      <c r="EP124" s="72"/>
      <c r="EQ124" s="72"/>
      <c r="ER124" s="75"/>
      <c r="ES124" s="76"/>
      <c r="ET124" s="77"/>
      <c r="EU124" s="77"/>
      <c r="EV124" s="78"/>
      <c r="EW124" s="72"/>
      <c r="EX124" s="72"/>
      <c r="EY124" s="72"/>
      <c r="EZ124" s="72"/>
      <c r="FA124" s="72"/>
      <c r="FB124" s="72"/>
      <c r="FC124" s="72"/>
      <c r="FD124" s="147"/>
      <c r="FE124" s="72"/>
      <c r="FF124" s="72"/>
      <c r="FG124" s="72"/>
      <c r="FO124" s="147"/>
      <c r="FP124" s="72"/>
      <c r="FQ124" s="72"/>
      <c r="FR124" s="72"/>
    </row>
    <row r="125" spans="1:181" s="71" customFormat="1" ht="16.350000000000001" customHeight="1" x14ac:dyDescent="0.25">
      <c r="A125" s="109"/>
      <c r="B125" s="70"/>
      <c r="C125" s="110"/>
      <c r="D125" s="110">
        <v>1</v>
      </c>
      <c r="E125" s="146"/>
      <c r="F125" s="109" t="str">
        <f>mehrsprachigkeitBegriffsrückgabe(gewählteSpracheZurückgeben(), "Product")</f>
        <v>Produkt</v>
      </c>
      <c r="G125" s="111" t="s">
        <v>251</v>
      </c>
      <c r="H125" s="111"/>
      <c r="I125" s="111" t="s">
        <v>86</v>
      </c>
      <c r="J125" s="111" t="s">
        <v>419</v>
      </c>
      <c r="K125" s="111"/>
      <c r="L125" s="146"/>
      <c r="M125" s="149" t="s">
        <v>392</v>
      </c>
      <c r="N125" s="111" t="s">
        <v>396</v>
      </c>
      <c r="O125" s="114"/>
      <c r="P125" s="114"/>
      <c r="Q125" s="111"/>
      <c r="R125" s="111"/>
      <c r="S125" s="111"/>
      <c r="T125" s="111"/>
      <c r="U125" s="111"/>
      <c r="V125" s="111"/>
      <c r="W125" s="111"/>
      <c r="X125" s="111"/>
      <c r="Y125" s="111"/>
      <c r="Z125" s="111"/>
      <c r="AA125" s="111"/>
      <c r="AB125" s="111"/>
      <c r="AC125" s="111"/>
      <c r="AD125" s="111"/>
      <c r="AE125" s="111"/>
      <c r="AF125" s="111"/>
      <c r="AG125" s="111"/>
      <c r="AH125" s="111"/>
      <c r="AI125" s="111"/>
      <c r="AJ125" s="111"/>
      <c r="AK125" s="111"/>
      <c r="AL125" s="111"/>
      <c r="AM125" s="111"/>
      <c r="AN125" s="111"/>
      <c r="AO125" s="111"/>
      <c r="AP125" s="111"/>
      <c r="AQ125" s="111"/>
      <c r="AR125" s="111"/>
      <c r="AS125" s="111"/>
      <c r="AT125" s="111"/>
      <c r="AU125" s="111"/>
      <c r="AV125" s="111"/>
      <c r="AW125" s="111"/>
      <c r="AX125" s="111"/>
      <c r="AY125" s="111"/>
      <c r="AZ125" s="111"/>
      <c r="BA125" s="146"/>
      <c r="BB125" s="104" t="s">
        <v>98</v>
      </c>
      <c r="BC125" s="72" t="s">
        <v>93</v>
      </c>
      <c r="BD125" s="72" t="s">
        <v>404</v>
      </c>
      <c r="BE125" s="72" t="s">
        <v>414</v>
      </c>
      <c r="BF125" s="146"/>
      <c r="BG125" s="112">
        <v>109.9</v>
      </c>
      <c r="BH125" s="113"/>
      <c r="BI125" s="146"/>
      <c r="BJ125" s="105">
        <v>1</v>
      </c>
      <c r="BK125" s="113" t="str">
        <f>mehrsprachigkeitBegriffsrückgabe(gewählteSpracheZurückgeben(), "Fixed scale price")</f>
        <v>Feste Preisangabe</v>
      </c>
      <c r="BL125" s="113" t="str">
        <f>mehrsprachigkeitBegriffsrückgabe(gewählteSpracheZurückgeben(), "Separated by products, variants and configurations")</f>
        <v>Produkte, Varianten und Konfigurationen getrennt</v>
      </c>
      <c r="BM125" s="105">
        <v>1</v>
      </c>
      <c r="BN125" s="113"/>
      <c r="BO125" s="152" t="s">
        <v>408</v>
      </c>
      <c r="BP125" s="146"/>
      <c r="BQ125" s="112" t="s">
        <v>113</v>
      </c>
      <c r="BR125" s="113"/>
      <c r="BS125" s="105"/>
      <c r="BT125" s="146"/>
      <c r="BU125" s="105"/>
      <c r="BV125" s="105"/>
      <c r="BW125" s="112"/>
      <c r="BX125" s="113"/>
      <c r="BY125" s="105"/>
      <c r="BZ125" s="113"/>
      <c r="CA125" s="113"/>
      <c r="CB125" s="105"/>
      <c r="CC125" s="113"/>
      <c r="CD125" s="152"/>
      <c r="CE125" s="112"/>
      <c r="CF125" s="113"/>
      <c r="CG125" s="105"/>
      <c r="CH125" s="146"/>
      <c r="CI125" s="105"/>
      <c r="CJ125" s="105"/>
      <c r="CK125" s="112"/>
      <c r="CL125" s="113"/>
      <c r="CM125" s="105"/>
      <c r="CN125" s="152"/>
      <c r="CO125" s="152"/>
      <c r="CP125" s="105"/>
      <c r="CQ125" s="113"/>
      <c r="CR125" s="152"/>
      <c r="CS125" s="112"/>
      <c r="CT125" s="113"/>
      <c r="CU125" s="105"/>
      <c r="CV125" s="146"/>
      <c r="CW125" s="105"/>
      <c r="CX125" s="105"/>
      <c r="CY125" s="112"/>
      <c r="CZ125" s="113"/>
      <c r="DA125" s="105"/>
      <c r="DB125" s="113"/>
      <c r="DC125" s="113"/>
      <c r="DD125" s="105"/>
      <c r="DE125" s="113"/>
      <c r="DF125" s="113"/>
      <c r="DG125" s="112"/>
      <c r="DH125" s="113"/>
      <c r="DI125" s="105"/>
      <c r="DJ125" s="146"/>
      <c r="DK125" s="105"/>
      <c r="DL125" s="105"/>
      <c r="DM125" s="112"/>
      <c r="DN125" s="113"/>
      <c r="DO125" s="105"/>
      <c r="DP125" s="113"/>
      <c r="DQ125" s="113"/>
      <c r="DR125" s="105"/>
      <c r="DS125" s="113"/>
      <c r="DT125" s="113"/>
      <c r="DU125" s="112"/>
      <c r="DV125" s="113"/>
      <c r="DW125" s="105"/>
      <c r="DX125" s="146"/>
      <c r="DY125" s="105"/>
      <c r="DZ125" s="105"/>
      <c r="EA125" s="112"/>
      <c r="EB125" s="113"/>
      <c r="EC125" s="105"/>
      <c r="ED125" s="113"/>
      <c r="EE125" s="113"/>
      <c r="EF125" s="105"/>
      <c r="EG125" s="113"/>
      <c r="EH125" s="113"/>
      <c r="EI125" s="112"/>
      <c r="EJ125" s="113"/>
      <c r="EK125" s="105"/>
      <c r="EL125" s="146"/>
      <c r="EM125" s="72" t="s">
        <v>115</v>
      </c>
      <c r="EN125" s="74">
        <v>2250</v>
      </c>
      <c r="EO125" s="73"/>
      <c r="EP125" s="72" t="s">
        <v>77</v>
      </c>
      <c r="EQ125" s="72"/>
      <c r="ER125" s="75"/>
      <c r="ES125" s="76"/>
      <c r="ET125" s="77">
        <v>1</v>
      </c>
      <c r="EU125" s="77"/>
      <c r="EV125" s="78"/>
      <c r="EW125" s="72"/>
      <c r="EX125" s="72"/>
      <c r="EY125" s="72" t="s">
        <v>100</v>
      </c>
      <c r="EZ125" s="72" t="s">
        <v>114</v>
      </c>
      <c r="FA125" s="72"/>
      <c r="FB125" s="78"/>
      <c r="FC125" s="78"/>
      <c r="FD125" s="146"/>
      <c r="FE125" s="78"/>
      <c r="FF125" s="78"/>
      <c r="FG125" s="78"/>
      <c r="FH125" s="78"/>
      <c r="FI125" s="78"/>
      <c r="FJ125" s="78"/>
      <c r="FK125" s="78"/>
      <c r="FL125" s="78"/>
      <c r="FM125" s="78"/>
      <c r="FN125" s="78"/>
      <c r="FO125" s="146"/>
      <c r="FP125" s="78"/>
      <c r="FQ125" s="78"/>
      <c r="FR125" s="78"/>
      <c r="FS125" s="78"/>
      <c r="FT125" s="78"/>
      <c r="FU125" s="78"/>
      <c r="FV125" s="78"/>
      <c r="FW125" s="78"/>
      <c r="FX125" s="78"/>
      <c r="FY125" s="78"/>
    </row>
    <row r="126" spans="1:181" s="71" customFormat="1" ht="16.350000000000001" customHeight="1" x14ac:dyDescent="0.25">
      <c r="A126" s="109"/>
      <c r="B126" s="70"/>
      <c r="C126" s="110"/>
      <c r="D126" s="110"/>
      <c r="E126" s="146"/>
      <c r="F126" s="109" t="str">
        <f>mehrsprachigkeitBegriffsrückgabe(gewählteSpracheZurückgeben(), "Product (foreign language)")</f>
        <v>Produkt (Fremdsprache)</v>
      </c>
      <c r="G126" s="111"/>
      <c r="H126" s="111" t="s">
        <v>251</v>
      </c>
      <c r="I126" s="111" t="s">
        <v>94</v>
      </c>
      <c r="J126" s="111" t="s">
        <v>420</v>
      </c>
      <c r="K126" s="111"/>
      <c r="L126" s="146"/>
      <c r="M126" s="149"/>
      <c r="N126" s="111" t="s">
        <v>113</v>
      </c>
      <c r="O126" s="111"/>
      <c r="P126" s="111"/>
      <c r="Q126" s="111"/>
      <c r="R126" s="111"/>
      <c r="S126" s="111"/>
      <c r="T126" s="111"/>
      <c r="U126" s="111"/>
      <c r="V126" s="111"/>
      <c r="W126" s="111"/>
      <c r="X126" s="111"/>
      <c r="Y126" s="111"/>
      <c r="Z126" s="111"/>
      <c r="AA126" s="111"/>
      <c r="AB126" s="111"/>
      <c r="AC126" s="111"/>
      <c r="AD126" s="111"/>
      <c r="AE126" s="111"/>
      <c r="AF126" s="111"/>
      <c r="AG126" s="111"/>
      <c r="AH126" s="111"/>
      <c r="AI126" s="111"/>
      <c r="AJ126" s="111"/>
      <c r="AK126" s="111"/>
      <c r="AL126" s="111"/>
      <c r="AM126" s="111"/>
      <c r="AN126" s="111"/>
      <c r="AO126" s="111"/>
      <c r="AP126" s="111"/>
      <c r="AQ126" s="111"/>
      <c r="AR126" s="111"/>
      <c r="AS126" s="111"/>
      <c r="AT126" s="111"/>
      <c r="AU126" s="111"/>
      <c r="AV126" s="111"/>
      <c r="AW126" s="111"/>
      <c r="AX126" s="111"/>
      <c r="AY126" s="111"/>
      <c r="AZ126" s="111"/>
      <c r="BA126" s="146"/>
      <c r="BB126" s="104" t="s">
        <v>99</v>
      </c>
      <c r="BC126" s="72" t="s">
        <v>95</v>
      </c>
      <c r="BD126" s="72"/>
      <c r="BE126" s="72"/>
      <c r="BF126" s="146"/>
      <c r="BG126" s="112" t="s">
        <v>113</v>
      </c>
      <c r="BH126" s="113"/>
      <c r="BI126" s="146"/>
      <c r="BJ126" s="105"/>
      <c r="BK126" s="113"/>
      <c r="BL126" s="113"/>
      <c r="BM126" s="105"/>
      <c r="BN126" s="113"/>
      <c r="BO126" s="113"/>
      <c r="BP126" s="146"/>
      <c r="BQ126" s="112" t="s">
        <v>113</v>
      </c>
      <c r="BR126" s="113"/>
      <c r="BS126" s="105"/>
      <c r="BT126" s="146"/>
      <c r="BU126" s="105"/>
      <c r="BV126" s="105"/>
      <c r="BW126" s="112"/>
      <c r="BX126" s="113"/>
      <c r="BY126" s="105"/>
      <c r="BZ126" s="113"/>
      <c r="CA126" s="113"/>
      <c r="CB126" s="105"/>
      <c r="CC126" s="113"/>
      <c r="CD126" s="113"/>
      <c r="CE126" s="112"/>
      <c r="CF126" s="113"/>
      <c r="CG126" s="105"/>
      <c r="CH126" s="146"/>
      <c r="CI126" s="105"/>
      <c r="CJ126" s="105"/>
      <c r="CK126" s="112"/>
      <c r="CL126" s="113"/>
      <c r="CM126" s="105"/>
      <c r="CN126" s="113"/>
      <c r="CO126" s="113"/>
      <c r="CP126" s="105"/>
      <c r="CQ126" s="113"/>
      <c r="CR126" s="113"/>
      <c r="CS126" s="112"/>
      <c r="CT126" s="113"/>
      <c r="CU126" s="105"/>
      <c r="CV126" s="146"/>
      <c r="CW126" s="105"/>
      <c r="CX126" s="105"/>
      <c r="CY126" s="112"/>
      <c r="CZ126" s="113"/>
      <c r="DA126" s="105"/>
      <c r="DB126" s="113"/>
      <c r="DC126" s="113"/>
      <c r="DD126" s="105"/>
      <c r="DE126" s="113"/>
      <c r="DF126" s="113"/>
      <c r="DG126" s="112"/>
      <c r="DH126" s="113"/>
      <c r="DI126" s="105"/>
      <c r="DJ126" s="146"/>
      <c r="DK126" s="105"/>
      <c r="DL126" s="105"/>
      <c r="DM126" s="112"/>
      <c r="DN126" s="113"/>
      <c r="DO126" s="105"/>
      <c r="DP126" s="113"/>
      <c r="DQ126" s="113"/>
      <c r="DR126" s="105"/>
      <c r="DS126" s="113"/>
      <c r="DT126" s="113"/>
      <c r="DU126" s="112"/>
      <c r="DV126" s="113"/>
      <c r="DW126" s="105"/>
      <c r="DX126" s="146"/>
      <c r="DY126" s="105"/>
      <c r="DZ126" s="105"/>
      <c r="EA126" s="112"/>
      <c r="EB126" s="113"/>
      <c r="EC126" s="105"/>
      <c r="ED126" s="113"/>
      <c r="EE126" s="113"/>
      <c r="EF126" s="105"/>
      <c r="EG126" s="113"/>
      <c r="EH126" s="113"/>
      <c r="EI126" s="112"/>
      <c r="EJ126" s="113"/>
      <c r="EK126" s="105"/>
      <c r="EL126" s="146"/>
      <c r="EM126" s="72"/>
      <c r="EN126" s="74"/>
      <c r="EO126" s="73"/>
      <c r="EP126" s="72" t="s">
        <v>96</v>
      </c>
      <c r="EQ126" s="72"/>
      <c r="ER126" s="75"/>
      <c r="ES126" s="76"/>
      <c r="ET126" s="77"/>
      <c r="EU126" s="77"/>
      <c r="EV126" s="78"/>
      <c r="EW126" s="72"/>
      <c r="EX126" s="72"/>
      <c r="EY126" s="72"/>
      <c r="EZ126" s="72"/>
      <c r="FA126" s="72"/>
      <c r="FB126" s="78"/>
      <c r="FC126" s="78"/>
      <c r="FD126" s="146"/>
      <c r="FE126" s="78"/>
      <c r="FF126" s="78"/>
      <c r="FG126" s="78"/>
      <c r="FO126" s="146"/>
      <c r="FP126" s="78"/>
      <c r="FQ126" s="78"/>
      <c r="FR126" s="78"/>
    </row>
    <row r="127" spans="1:181" s="71" customFormat="1" ht="16.350000000000001" customHeight="1" x14ac:dyDescent="0.25">
      <c r="A127" s="109"/>
      <c r="B127" s="70"/>
      <c r="C127" s="110"/>
      <c r="D127" s="110">
        <v>1</v>
      </c>
      <c r="E127" s="146"/>
      <c r="F127" s="109" t="str">
        <f>mehrsprachigkeitBegriffsrückgabe(gewählteSpracheZurückgeben(), "Product")</f>
        <v>Produkt</v>
      </c>
      <c r="G127" s="111" t="s">
        <v>252</v>
      </c>
      <c r="H127" s="111"/>
      <c r="I127" s="111" t="s">
        <v>86</v>
      </c>
      <c r="J127" s="111" t="s">
        <v>421</v>
      </c>
      <c r="K127" s="111"/>
      <c r="L127" s="146"/>
      <c r="M127" s="149" t="s">
        <v>392</v>
      </c>
      <c r="N127" s="111" t="s">
        <v>396</v>
      </c>
      <c r="O127" s="114"/>
      <c r="P127" s="114"/>
      <c r="Q127" s="111"/>
      <c r="R127" s="111"/>
      <c r="S127" s="111"/>
      <c r="T127" s="111"/>
      <c r="U127" s="111"/>
      <c r="V127" s="111"/>
      <c r="W127" s="111"/>
      <c r="X127" s="111"/>
      <c r="Y127" s="111"/>
      <c r="Z127" s="111"/>
      <c r="AA127" s="111"/>
      <c r="AB127" s="111"/>
      <c r="AC127" s="111"/>
      <c r="AD127" s="111"/>
      <c r="AE127" s="111"/>
      <c r="AF127" s="111"/>
      <c r="AG127" s="111"/>
      <c r="AH127" s="111"/>
      <c r="AI127" s="111"/>
      <c r="AJ127" s="111"/>
      <c r="AK127" s="111"/>
      <c r="AL127" s="111"/>
      <c r="AM127" s="111"/>
      <c r="AN127" s="111"/>
      <c r="AO127" s="111"/>
      <c r="AP127" s="111"/>
      <c r="AQ127" s="111"/>
      <c r="AR127" s="111"/>
      <c r="AS127" s="111"/>
      <c r="AT127" s="111"/>
      <c r="AU127" s="111"/>
      <c r="AV127" s="111"/>
      <c r="AW127" s="111"/>
      <c r="AX127" s="111"/>
      <c r="AY127" s="111"/>
      <c r="AZ127" s="111"/>
      <c r="BA127" s="146"/>
      <c r="BB127" s="104" t="s">
        <v>98</v>
      </c>
      <c r="BC127" s="72" t="s">
        <v>93</v>
      </c>
      <c r="BD127" s="72" t="s">
        <v>404</v>
      </c>
      <c r="BE127" s="72" t="s">
        <v>413</v>
      </c>
      <c r="BF127" s="146"/>
      <c r="BG127" s="112">
        <v>99.9</v>
      </c>
      <c r="BH127" s="113"/>
      <c r="BI127" s="146"/>
      <c r="BJ127" s="105">
        <v>1</v>
      </c>
      <c r="BK127" s="113" t="str">
        <f>mehrsprachigkeitBegriffsrückgabe(gewählteSpracheZurückgeben(), "Fixed scale price")</f>
        <v>Feste Preisangabe</v>
      </c>
      <c r="BL127" s="113" t="str">
        <f>mehrsprachigkeitBegriffsrückgabe(gewählteSpracheZurückgeben(), "Separated by products, variants and configurations")</f>
        <v>Produkte, Varianten und Konfigurationen getrennt</v>
      </c>
      <c r="BM127" s="105">
        <v>1</v>
      </c>
      <c r="BN127" s="113"/>
      <c r="BO127" s="152" t="s">
        <v>409</v>
      </c>
      <c r="BP127" s="146"/>
      <c r="BQ127" s="112">
        <v>109.9</v>
      </c>
      <c r="BR127" s="113"/>
      <c r="BS127" s="105">
        <v>1</v>
      </c>
      <c r="BT127" s="146"/>
      <c r="BU127" s="105"/>
      <c r="BV127" s="105"/>
      <c r="BW127" s="112"/>
      <c r="BX127" s="113"/>
      <c r="BY127" s="105"/>
      <c r="BZ127" s="113"/>
      <c r="CA127" s="113"/>
      <c r="CB127" s="105"/>
      <c r="CC127" s="113"/>
      <c r="CD127" s="152"/>
      <c r="CE127" s="112"/>
      <c r="CF127" s="113"/>
      <c r="CG127" s="105"/>
      <c r="CH127" s="146"/>
      <c r="CI127" s="105"/>
      <c r="CJ127" s="105"/>
      <c r="CK127" s="112"/>
      <c r="CL127" s="113"/>
      <c r="CM127" s="105"/>
      <c r="CN127" s="152"/>
      <c r="CO127" s="152"/>
      <c r="CP127" s="105"/>
      <c r="CQ127" s="113"/>
      <c r="CR127" s="152"/>
      <c r="CS127" s="112"/>
      <c r="CT127" s="113"/>
      <c r="CU127" s="105"/>
      <c r="CV127" s="146"/>
      <c r="CW127" s="105"/>
      <c r="CX127" s="105"/>
      <c r="CY127" s="112"/>
      <c r="CZ127" s="113"/>
      <c r="DA127" s="105"/>
      <c r="DB127" s="113"/>
      <c r="DC127" s="113"/>
      <c r="DD127" s="105"/>
      <c r="DE127" s="113"/>
      <c r="DF127" s="113"/>
      <c r="DG127" s="112"/>
      <c r="DH127" s="113"/>
      <c r="DI127" s="105"/>
      <c r="DJ127" s="146"/>
      <c r="DK127" s="105"/>
      <c r="DL127" s="105"/>
      <c r="DM127" s="112"/>
      <c r="DN127" s="113"/>
      <c r="DO127" s="105"/>
      <c r="DP127" s="113"/>
      <c r="DQ127" s="113"/>
      <c r="DR127" s="105"/>
      <c r="DS127" s="113"/>
      <c r="DT127" s="113"/>
      <c r="DU127" s="112"/>
      <c r="DV127" s="113"/>
      <c r="DW127" s="105"/>
      <c r="DX127" s="146"/>
      <c r="DY127" s="105"/>
      <c r="DZ127" s="105"/>
      <c r="EA127" s="112"/>
      <c r="EB127" s="113"/>
      <c r="EC127" s="105"/>
      <c r="ED127" s="113"/>
      <c r="EE127" s="113"/>
      <c r="EF127" s="105"/>
      <c r="EG127" s="113"/>
      <c r="EH127" s="113"/>
      <c r="EI127" s="112"/>
      <c r="EJ127" s="113"/>
      <c r="EK127" s="105"/>
      <c r="EL127" s="146"/>
      <c r="EM127" s="72" t="s">
        <v>115</v>
      </c>
      <c r="EN127" s="74">
        <v>2250</v>
      </c>
      <c r="EO127" s="73"/>
      <c r="EP127" s="72" t="s">
        <v>77</v>
      </c>
      <c r="EQ127" s="72"/>
      <c r="ER127" s="75"/>
      <c r="ES127" s="76"/>
      <c r="ET127" s="77"/>
      <c r="EU127" s="77">
        <v>1</v>
      </c>
      <c r="EV127" s="78"/>
      <c r="EW127" s="72"/>
      <c r="EX127" s="72"/>
      <c r="EY127" s="72" t="s">
        <v>100</v>
      </c>
      <c r="EZ127" s="72" t="s">
        <v>114</v>
      </c>
      <c r="FA127" s="72"/>
      <c r="FB127" s="78"/>
      <c r="FC127" s="78"/>
      <c r="FD127" s="146"/>
      <c r="FE127" s="78"/>
      <c r="FF127" s="78"/>
      <c r="FG127" s="78"/>
      <c r="FH127" s="78"/>
      <c r="FI127" s="78"/>
      <c r="FJ127" s="78"/>
      <c r="FK127" s="78"/>
      <c r="FL127" s="78"/>
      <c r="FM127" s="78"/>
      <c r="FN127" s="78"/>
      <c r="FO127" s="146"/>
      <c r="FP127" s="78"/>
      <c r="FQ127" s="78"/>
      <c r="FR127" s="78"/>
      <c r="FS127" s="78"/>
      <c r="FT127" s="78"/>
      <c r="FU127" s="78"/>
      <c r="FV127" s="78"/>
      <c r="FW127" s="78"/>
      <c r="FX127" s="78"/>
      <c r="FY127" s="78"/>
    </row>
    <row r="128" spans="1:181" s="71" customFormat="1" ht="16.350000000000001" customHeight="1" x14ac:dyDescent="0.25">
      <c r="A128" s="109"/>
      <c r="B128" s="70"/>
      <c r="C128" s="110"/>
      <c r="D128" s="110"/>
      <c r="E128" s="146"/>
      <c r="F128" s="109" t="str">
        <f>mehrsprachigkeitBegriffsrückgabe(gewählteSpracheZurückgeben(), "Product (foreign language)")</f>
        <v>Produkt (Fremdsprache)</v>
      </c>
      <c r="G128" s="111"/>
      <c r="H128" s="111" t="s">
        <v>252</v>
      </c>
      <c r="I128" s="111" t="s">
        <v>94</v>
      </c>
      <c r="J128" s="111" t="s">
        <v>422</v>
      </c>
      <c r="K128" s="111"/>
      <c r="L128" s="146"/>
      <c r="M128" s="149"/>
      <c r="N128" s="111"/>
      <c r="O128" s="111"/>
      <c r="P128" s="111"/>
      <c r="Q128" s="111"/>
      <c r="R128" s="111"/>
      <c r="S128" s="111"/>
      <c r="T128" s="111"/>
      <c r="U128" s="111"/>
      <c r="V128" s="111"/>
      <c r="W128" s="111"/>
      <c r="X128" s="111"/>
      <c r="Y128" s="111"/>
      <c r="Z128" s="111"/>
      <c r="AA128" s="111"/>
      <c r="AB128" s="111"/>
      <c r="AC128" s="111"/>
      <c r="AD128" s="111"/>
      <c r="AE128" s="111"/>
      <c r="AF128" s="111"/>
      <c r="AG128" s="111"/>
      <c r="AH128" s="111"/>
      <c r="AI128" s="111"/>
      <c r="AJ128" s="111"/>
      <c r="AK128" s="111"/>
      <c r="AL128" s="111"/>
      <c r="AM128" s="111"/>
      <c r="AN128" s="111"/>
      <c r="AO128" s="111"/>
      <c r="AP128" s="111"/>
      <c r="AQ128" s="111"/>
      <c r="AR128" s="111"/>
      <c r="AS128" s="111"/>
      <c r="AT128" s="111"/>
      <c r="AU128" s="111"/>
      <c r="AV128" s="111"/>
      <c r="AW128" s="111"/>
      <c r="AX128" s="111"/>
      <c r="AY128" s="111"/>
      <c r="AZ128" s="111"/>
      <c r="BA128" s="146"/>
      <c r="BB128" s="104" t="s">
        <v>99</v>
      </c>
      <c r="BC128" s="72" t="s">
        <v>95</v>
      </c>
      <c r="BD128" s="72"/>
      <c r="BE128" s="72"/>
      <c r="BF128" s="146"/>
      <c r="BG128" s="112" t="s">
        <v>113</v>
      </c>
      <c r="BH128" s="113"/>
      <c r="BI128" s="146"/>
      <c r="BJ128" s="105"/>
      <c r="BK128" s="113"/>
      <c r="BL128" s="113"/>
      <c r="BM128" s="105"/>
      <c r="BN128" s="113"/>
      <c r="BO128" s="113"/>
      <c r="BP128" s="146"/>
      <c r="BQ128" s="112" t="s">
        <v>113</v>
      </c>
      <c r="BR128" s="113"/>
      <c r="BS128" s="105"/>
      <c r="BT128" s="146"/>
      <c r="BU128" s="105"/>
      <c r="BV128" s="105"/>
      <c r="BW128" s="112"/>
      <c r="BX128" s="113"/>
      <c r="BY128" s="105"/>
      <c r="BZ128" s="113"/>
      <c r="CA128" s="113"/>
      <c r="CB128" s="105"/>
      <c r="CC128" s="113"/>
      <c r="CD128" s="113"/>
      <c r="CE128" s="112"/>
      <c r="CF128" s="113"/>
      <c r="CG128" s="105"/>
      <c r="CH128" s="146"/>
      <c r="CI128" s="105"/>
      <c r="CJ128" s="105"/>
      <c r="CK128" s="112"/>
      <c r="CL128" s="113"/>
      <c r="CM128" s="105"/>
      <c r="CN128" s="113"/>
      <c r="CO128" s="113"/>
      <c r="CP128" s="105"/>
      <c r="CQ128" s="113"/>
      <c r="CR128" s="113"/>
      <c r="CS128" s="112"/>
      <c r="CT128" s="113"/>
      <c r="CU128" s="105"/>
      <c r="CV128" s="146"/>
      <c r="CW128" s="105"/>
      <c r="CX128" s="105"/>
      <c r="CY128" s="112"/>
      <c r="CZ128" s="113"/>
      <c r="DA128" s="105"/>
      <c r="DB128" s="113"/>
      <c r="DC128" s="113"/>
      <c r="DD128" s="105"/>
      <c r="DE128" s="113"/>
      <c r="DF128" s="113"/>
      <c r="DG128" s="112"/>
      <c r="DH128" s="113"/>
      <c r="DI128" s="105"/>
      <c r="DJ128" s="146"/>
      <c r="DK128" s="105"/>
      <c r="DL128" s="105"/>
      <c r="DM128" s="112"/>
      <c r="DN128" s="113"/>
      <c r="DO128" s="105"/>
      <c r="DP128" s="113"/>
      <c r="DQ128" s="113"/>
      <c r="DR128" s="105"/>
      <c r="DS128" s="113"/>
      <c r="DT128" s="113"/>
      <c r="DU128" s="112"/>
      <c r="DV128" s="113"/>
      <c r="DW128" s="105"/>
      <c r="DX128" s="146"/>
      <c r="DY128" s="105"/>
      <c r="DZ128" s="105"/>
      <c r="EA128" s="112"/>
      <c r="EB128" s="113"/>
      <c r="EC128" s="105"/>
      <c r="ED128" s="113"/>
      <c r="EE128" s="113"/>
      <c r="EF128" s="105"/>
      <c r="EG128" s="113"/>
      <c r="EH128" s="113"/>
      <c r="EI128" s="112"/>
      <c r="EJ128" s="113"/>
      <c r="EK128" s="105"/>
      <c r="EL128" s="146"/>
      <c r="EM128" s="72"/>
      <c r="EN128" s="74"/>
      <c r="EO128" s="73"/>
      <c r="EP128" s="72" t="s">
        <v>96</v>
      </c>
      <c r="EQ128" s="72"/>
      <c r="ER128" s="75"/>
      <c r="ES128" s="76"/>
      <c r="ET128" s="77"/>
      <c r="EU128" s="77"/>
      <c r="EV128" s="78"/>
      <c r="EW128" s="72"/>
      <c r="EX128" s="72"/>
      <c r="EY128" s="72"/>
      <c r="EZ128" s="72"/>
      <c r="FA128" s="72"/>
      <c r="FB128" s="78"/>
      <c r="FC128" s="78"/>
      <c r="FD128" s="146"/>
      <c r="FE128" s="78"/>
      <c r="FF128" s="78"/>
      <c r="FG128" s="78"/>
      <c r="FO128" s="146"/>
      <c r="FP128" s="78"/>
      <c r="FQ128" s="78"/>
      <c r="FR128" s="78"/>
    </row>
    <row r="129" spans="1:181" s="71" customFormat="1" ht="16.350000000000001" customHeight="1" x14ac:dyDescent="0.25">
      <c r="A129" s="109"/>
      <c r="B129" s="70"/>
      <c r="C129" s="110"/>
      <c r="D129" s="110">
        <v>1</v>
      </c>
      <c r="E129" s="146"/>
      <c r="F129" s="109" t="str">
        <f>mehrsprachigkeitBegriffsrückgabe(gewählteSpracheZurückgeben(), "Product")</f>
        <v>Produkt</v>
      </c>
      <c r="G129" s="111" t="s">
        <v>253</v>
      </c>
      <c r="H129" s="111"/>
      <c r="I129" s="111" t="s">
        <v>86</v>
      </c>
      <c r="J129" s="111" t="s">
        <v>423</v>
      </c>
      <c r="K129" s="111"/>
      <c r="L129" s="146"/>
      <c r="M129" s="149" t="s">
        <v>392</v>
      </c>
      <c r="N129" s="111" t="s">
        <v>397</v>
      </c>
      <c r="O129" s="114" t="s">
        <v>392</v>
      </c>
      <c r="P129" s="114" t="s">
        <v>401</v>
      </c>
      <c r="Q129" s="111"/>
      <c r="R129" s="111"/>
      <c r="S129" s="111"/>
      <c r="T129" s="111"/>
      <c r="U129" s="111"/>
      <c r="V129" s="111"/>
      <c r="W129" s="111"/>
      <c r="X129" s="111"/>
      <c r="Y129" s="111"/>
      <c r="Z129" s="111"/>
      <c r="AA129" s="111"/>
      <c r="AB129" s="111"/>
      <c r="AC129" s="111"/>
      <c r="AD129" s="111"/>
      <c r="AE129" s="111"/>
      <c r="AF129" s="111"/>
      <c r="AG129" s="111"/>
      <c r="AH129" s="111"/>
      <c r="AI129" s="111"/>
      <c r="AJ129" s="111"/>
      <c r="AK129" s="111"/>
      <c r="AL129" s="111"/>
      <c r="AM129" s="111"/>
      <c r="AN129" s="111"/>
      <c r="AO129" s="111"/>
      <c r="AP129" s="111"/>
      <c r="AQ129" s="111"/>
      <c r="AR129" s="111"/>
      <c r="AS129" s="111"/>
      <c r="AT129" s="111"/>
      <c r="AU129" s="111"/>
      <c r="AV129" s="111"/>
      <c r="AW129" s="111"/>
      <c r="AX129" s="111"/>
      <c r="AY129" s="111"/>
      <c r="AZ129" s="111"/>
      <c r="BA129" s="146"/>
      <c r="BB129" s="104" t="s">
        <v>98</v>
      </c>
      <c r="BC129" s="72" t="s">
        <v>93</v>
      </c>
      <c r="BD129" s="72" t="s">
        <v>404</v>
      </c>
      <c r="BE129" s="72" t="s">
        <v>415</v>
      </c>
      <c r="BF129" s="146"/>
      <c r="BG129" s="112">
        <v>89.9</v>
      </c>
      <c r="BH129" s="113"/>
      <c r="BI129" s="146"/>
      <c r="BJ129" s="105">
        <v>1</v>
      </c>
      <c r="BK129" s="113" t="str">
        <f>mehrsprachigkeitBegriffsrückgabe(gewählteSpracheZurückgeben(), "Fixed scale price")</f>
        <v>Feste Preisangabe</v>
      </c>
      <c r="BL129" s="113" t="str">
        <f>mehrsprachigkeitBegriffsrückgabe(gewählteSpracheZurückgeben(), "Separated by products, variants and configurations")</f>
        <v>Produkte, Varianten und Konfigurationen getrennt</v>
      </c>
      <c r="BM129" s="105">
        <v>1</v>
      </c>
      <c r="BN129" s="113"/>
      <c r="BO129" s="152" t="s">
        <v>406</v>
      </c>
      <c r="BP129" s="146"/>
      <c r="BQ129" s="112" t="s">
        <v>113</v>
      </c>
      <c r="BR129" s="113"/>
      <c r="BS129" s="105"/>
      <c r="BT129" s="146"/>
      <c r="BU129" s="105"/>
      <c r="BV129" s="105"/>
      <c r="BW129" s="112"/>
      <c r="BX129" s="113"/>
      <c r="BY129" s="105"/>
      <c r="BZ129" s="113"/>
      <c r="CA129" s="113"/>
      <c r="CB129" s="105"/>
      <c r="CC129" s="113"/>
      <c r="CD129" s="152"/>
      <c r="CE129" s="112"/>
      <c r="CF129" s="113"/>
      <c r="CG129" s="105"/>
      <c r="CH129" s="146"/>
      <c r="CI129" s="105"/>
      <c r="CJ129" s="105"/>
      <c r="CK129" s="112"/>
      <c r="CL129" s="113"/>
      <c r="CM129" s="105"/>
      <c r="CN129" s="152"/>
      <c r="CO129" s="152"/>
      <c r="CP129" s="105"/>
      <c r="CQ129" s="113"/>
      <c r="CR129" s="152"/>
      <c r="CS129" s="112"/>
      <c r="CT129" s="113"/>
      <c r="CU129" s="105"/>
      <c r="CV129" s="146"/>
      <c r="CW129" s="105"/>
      <c r="CX129" s="105"/>
      <c r="CY129" s="112"/>
      <c r="CZ129" s="113"/>
      <c r="DA129" s="105"/>
      <c r="DB129" s="113"/>
      <c r="DC129" s="113"/>
      <c r="DD129" s="105"/>
      <c r="DE129" s="113"/>
      <c r="DF129" s="113"/>
      <c r="DG129" s="112"/>
      <c r="DH129" s="113"/>
      <c r="DI129" s="105"/>
      <c r="DJ129" s="146"/>
      <c r="DK129" s="105"/>
      <c r="DL129" s="105"/>
      <c r="DM129" s="112"/>
      <c r="DN129" s="113"/>
      <c r="DO129" s="105"/>
      <c r="DP129" s="113"/>
      <c r="DQ129" s="113"/>
      <c r="DR129" s="105"/>
      <c r="DS129" s="113"/>
      <c r="DT129" s="113"/>
      <c r="DU129" s="112"/>
      <c r="DV129" s="113"/>
      <c r="DW129" s="105"/>
      <c r="DX129" s="146"/>
      <c r="DY129" s="105"/>
      <c r="DZ129" s="105"/>
      <c r="EA129" s="112"/>
      <c r="EB129" s="113"/>
      <c r="EC129" s="105"/>
      <c r="ED129" s="113"/>
      <c r="EE129" s="113"/>
      <c r="EF129" s="105"/>
      <c r="EG129" s="113"/>
      <c r="EH129" s="113"/>
      <c r="EI129" s="112"/>
      <c r="EJ129" s="113"/>
      <c r="EK129" s="105"/>
      <c r="EL129" s="146"/>
      <c r="EM129" s="72" t="s">
        <v>115</v>
      </c>
      <c r="EN129" s="74">
        <v>2250</v>
      </c>
      <c r="EO129" s="73"/>
      <c r="EP129" s="72" t="s">
        <v>77</v>
      </c>
      <c r="EQ129" s="72"/>
      <c r="ER129" s="75"/>
      <c r="ES129" s="76"/>
      <c r="ET129" s="77"/>
      <c r="EU129" s="77"/>
      <c r="EV129" s="78"/>
      <c r="EW129" s="72"/>
      <c r="EX129" s="72"/>
      <c r="EY129" s="72" t="s">
        <v>100</v>
      </c>
      <c r="EZ129" s="72" t="s">
        <v>114</v>
      </c>
      <c r="FA129" s="72"/>
      <c r="FB129" s="78"/>
      <c r="FC129" s="78"/>
      <c r="FD129" s="146"/>
      <c r="FE129" s="78"/>
      <c r="FF129" s="78"/>
      <c r="FG129" s="78"/>
      <c r="FH129" s="78"/>
      <c r="FI129" s="78"/>
      <c r="FJ129" s="78"/>
      <c r="FK129" s="78"/>
      <c r="FL129" s="78"/>
      <c r="FM129" s="78"/>
      <c r="FN129" s="78"/>
      <c r="FO129" s="146"/>
      <c r="FP129" s="78"/>
      <c r="FQ129" s="78"/>
      <c r="FR129" s="78"/>
      <c r="FS129" s="78"/>
      <c r="FT129" s="78"/>
      <c r="FU129" s="78"/>
      <c r="FV129" s="78"/>
      <c r="FW129" s="78"/>
      <c r="FX129" s="78"/>
      <c r="FY129" s="78"/>
    </row>
    <row r="130" spans="1:181" s="71" customFormat="1" ht="16.350000000000001" customHeight="1" x14ac:dyDescent="0.25">
      <c r="A130" s="109"/>
      <c r="B130" s="70"/>
      <c r="C130" s="110"/>
      <c r="D130" s="110"/>
      <c r="E130" s="146"/>
      <c r="F130" s="109" t="str">
        <f>mehrsprachigkeitBegriffsrückgabe(gewählteSpracheZurückgeben(), "Product (foreign language)")</f>
        <v>Produkt (Fremdsprache)</v>
      </c>
      <c r="G130" s="111"/>
      <c r="H130" s="111" t="s">
        <v>253</v>
      </c>
      <c r="I130" s="111" t="s">
        <v>94</v>
      </c>
      <c r="J130" s="111" t="s">
        <v>424</v>
      </c>
      <c r="K130" s="111"/>
      <c r="L130" s="146"/>
      <c r="M130" s="149"/>
      <c r="N130" s="111"/>
      <c r="O130" s="111"/>
      <c r="P130" s="111"/>
      <c r="Q130" s="111"/>
      <c r="R130" s="111"/>
      <c r="S130" s="111"/>
      <c r="T130" s="111"/>
      <c r="U130" s="111"/>
      <c r="V130" s="111"/>
      <c r="W130" s="111"/>
      <c r="X130" s="111"/>
      <c r="Y130" s="111"/>
      <c r="Z130" s="111"/>
      <c r="AA130" s="111"/>
      <c r="AB130" s="111"/>
      <c r="AC130" s="111"/>
      <c r="AD130" s="111"/>
      <c r="AE130" s="111"/>
      <c r="AF130" s="111"/>
      <c r="AG130" s="111"/>
      <c r="AH130" s="111"/>
      <c r="AI130" s="111"/>
      <c r="AJ130" s="111"/>
      <c r="AK130" s="111"/>
      <c r="AL130" s="111"/>
      <c r="AM130" s="111"/>
      <c r="AN130" s="111"/>
      <c r="AO130" s="111"/>
      <c r="AP130" s="111"/>
      <c r="AQ130" s="111"/>
      <c r="AR130" s="111"/>
      <c r="AS130" s="111"/>
      <c r="AT130" s="111"/>
      <c r="AU130" s="111"/>
      <c r="AV130" s="111"/>
      <c r="AW130" s="111"/>
      <c r="AX130" s="111"/>
      <c r="AY130" s="111"/>
      <c r="AZ130" s="111"/>
      <c r="BA130" s="146"/>
      <c r="BB130" s="104" t="s">
        <v>99</v>
      </c>
      <c r="BC130" s="72" t="s">
        <v>95</v>
      </c>
      <c r="BD130" s="72"/>
      <c r="BE130" s="72"/>
      <c r="BF130" s="146"/>
      <c r="BG130" s="112" t="s">
        <v>113</v>
      </c>
      <c r="BH130" s="113"/>
      <c r="BI130" s="146"/>
      <c r="BJ130" s="105"/>
      <c r="BK130" s="113"/>
      <c r="BL130" s="113"/>
      <c r="BM130" s="105"/>
      <c r="BN130" s="113"/>
      <c r="BO130" s="113"/>
      <c r="BP130" s="146"/>
      <c r="BQ130" s="112" t="s">
        <v>113</v>
      </c>
      <c r="BR130" s="113"/>
      <c r="BS130" s="105"/>
      <c r="BT130" s="146"/>
      <c r="BU130" s="105"/>
      <c r="BV130" s="105"/>
      <c r="BW130" s="112"/>
      <c r="BX130" s="113"/>
      <c r="BY130" s="105"/>
      <c r="BZ130" s="113"/>
      <c r="CA130" s="113"/>
      <c r="CB130" s="105"/>
      <c r="CC130" s="113"/>
      <c r="CD130" s="113"/>
      <c r="CE130" s="112"/>
      <c r="CF130" s="113"/>
      <c r="CG130" s="105"/>
      <c r="CH130" s="146"/>
      <c r="CI130" s="105"/>
      <c r="CJ130" s="105"/>
      <c r="CK130" s="112"/>
      <c r="CL130" s="113"/>
      <c r="CM130" s="105"/>
      <c r="CN130" s="113"/>
      <c r="CO130" s="113"/>
      <c r="CP130" s="105"/>
      <c r="CQ130" s="113"/>
      <c r="CR130" s="113"/>
      <c r="CS130" s="112"/>
      <c r="CT130" s="113"/>
      <c r="CU130" s="105"/>
      <c r="CV130" s="146"/>
      <c r="CW130" s="105"/>
      <c r="CX130" s="105"/>
      <c r="CY130" s="112"/>
      <c r="CZ130" s="113"/>
      <c r="DA130" s="105"/>
      <c r="DB130" s="113"/>
      <c r="DC130" s="113"/>
      <c r="DD130" s="105"/>
      <c r="DE130" s="113"/>
      <c r="DF130" s="113"/>
      <c r="DG130" s="112"/>
      <c r="DH130" s="113"/>
      <c r="DI130" s="105"/>
      <c r="DJ130" s="146"/>
      <c r="DK130" s="105"/>
      <c r="DL130" s="105"/>
      <c r="DM130" s="112"/>
      <c r="DN130" s="113"/>
      <c r="DO130" s="105"/>
      <c r="DP130" s="113"/>
      <c r="DQ130" s="113"/>
      <c r="DR130" s="105"/>
      <c r="DS130" s="113"/>
      <c r="DT130" s="113"/>
      <c r="DU130" s="112"/>
      <c r="DV130" s="113"/>
      <c r="DW130" s="105"/>
      <c r="DX130" s="146"/>
      <c r="DY130" s="105"/>
      <c r="DZ130" s="105"/>
      <c r="EA130" s="112"/>
      <c r="EB130" s="113"/>
      <c r="EC130" s="105"/>
      <c r="ED130" s="113"/>
      <c r="EE130" s="113"/>
      <c r="EF130" s="105"/>
      <c r="EG130" s="113"/>
      <c r="EH130" s="113"/>
      <c r="EI130" s="112"/>
      <c r="EJ130" s="113"/>
      <c r="EK130" s="105"/>
      <c r="EL130" s="146"/>
      <c r="EM130" s="72"/>
      <c r="EN130" s="74"/>
      <c r="EO130" s="73"/>
      <c r="EP130" s="72" t="s">
        <v>96</v>
      </c>
      <c r="EQ130" s="72"/>
      <c r="ER130" s="75"/>
      <c r="ES130" s="76"/>
      <c r="ET130" s="77"/>
      <c r="EU130" s="77"/>
      <c r="EV130" s="78"/>
      <c r="EW130" s="72"/>
      <c r="EX130" s="72"/>
      <c r="EY130" s="72"/>
      <c r="EZ130" s="72"/>
      <c r="FA130" s="72"/>
      <c r="FB130" s="78"/>
      <c r="FC130" s="78"/>
      <c r="FD130" s="146"/>
      <c r="FE130" s="78"/>
      <c r="FF130" s="78"/>
      <c r="FG130" s="78"/>
      <c r="FO130" s="146"/>
      <c r="FP130" s="78"/>
      <c r="FQ130" s="78"/>
      <c r="FR130" s="78"/>
    </row>
    <row r="131" spans="1:181" s="71" customFormat="1" ht="16.350000000000001" customHeight="1" x14ac:dyDescent="0.25">
      <c r="A131" s="109"/>
      <c r="B131" s="70"/>
      <c r="C131" s="110"/>
      <c r="D131" s="110">
        <v>1</v>
      </c>
      <c r="E131" s="146"/>
      <c r="F131" s="109" t="str">
        <f>mehrsprachigkeitBegriffsrückgabe(gewählteSpracheZurückgeben(), "Product")</f>
        <v>Produkt</v>
      </c>
      <c r="G131" s="111" t="s">
        <v>254</v>
      </c>
      <c r="H131" s="111"/>
      <c r="I131" s="111" t="s">
        <v>86</v>
      </c>
      <c r="J131" s="111" t="s">
        <v>347</v>
      </c>
      <c r="K131" s="111"/>
      <c r="L131" s="146"/>
      <c r="M131" s="149" t="s">
        <v>392</v>
      </c>
      <c r="N131" s="111" t="s">
        <v>397</v>
      </c>
      <c r="O131" s="114" t="s">
        <v>392</v>
      </c>
      <c r="P131" s="114" t="s">
        <v>401</v>
      </c>
      <c r="Q131" s="111"/>
      <c r="R131" s="111" t="s">
        <v>113</v>
      </c>
      <c r="S131" s="111"/>
      <c r="T131" s="111"/>
      <c r="U131" s="111"/>
      <c r="V131" s="111"/>
      <c r="W131" s="111"/>
      <c r="X131" s="111"/>
      <c r="Y131" s="111"/>
      <c r="Z131" s="111"/>
      <c r="AA131" s="111"/>
      <c r="AB131" s="111"/>
      <c r="AC131" s="111"/>
      <c r="AD131" s="111"/>
      <c r="AE131" s="111"/>
      <c r="AF131" s="111"/>
      <c r="AG131" s="111"/>
      <c r="AH131" s="111"/>
      <c r="AI131" s="111"/>
      <c r="AJ131" s="111"/>
      <c r="AK131" s="111"/>
      <c r="AL131" s="111"/>
      <c r="AM131" s="111"/>
      <c r="AN131" s="111"/>
      <c r="AO131" s="111"/>
      <c r="AP131" s="111"/>
      <c r="AQ131" s="111"/>
      <c r="AR131" s="111"/>
      <c r="AS131" s="111"/>
      <c r="AT131" s="111"/>
      <c r="AU131" s="111"/>
      <c r="AV131" s="111"/>
      <c r="AW131" s="111"/>
      <c r="AX131" s="111"/>
      <c r="AY131" s="111"/>
      <c r="AZ131" s="111"/>
      <c r="BA131" s="146"/>
      <c r="BB131" s="104" t="s">
        <v>98</v>
      </c>
      <c r="BC131" s="72" t="s">
        <v>93</v>
      </c>
      <c r="BD131" s="72" t="s">
        <v>404</v>
      </c>
      <c r="BE131" s="72" t="s">
        <v>416</v>
      </c>
      <c r="BF131" s="146"/>
      <c r="BG131" s="112">
        <v>74.900000000000006</v>
      </c>
      <c r="BH131" s="113"/>
      <c r="BI131" s="146"/>
      <c r="BJ131" s="105">
        <v>1</v>
      </c>
      <c r="BK131" s="113" t="str">
        <f>mehrsprachigkeitBegriffsrückgabe(gewählteSpracheZurückgeben(), "Fixed scale price")</f>
        <v>Feste Preisangabe</v>
      </c>
      <c r="BL131" s="113" t="str">
        <f>mehrsprachigkeitBegriffsrückgabe(gewählteSpracheZurückgeben(), "Separated by products, variants and configurations")</f>
        <v>Produkte, Varianten und Konfigurationen getrennt</v>
      </c>
      <c r="BM131" s="105">
        <v>1</v>
      </c>
      <c r="BN131" s="113"/>
      <c r="BO131" s="152" t="s">
        <v>410</v>
      </c>
      <c r="BP131" s="146"/>
      <c r="BQ131" s="112" t="s">
        <v>113</v>
      </c>
      <c r="BR131" s="113"/>
      <c r="BS131" s="105"/>
      <c r="BT131" s="146"/>
      <c r="BU131" s="105"/>
      <c r="BV131" s="105"/>
      <c r="BW131" s="112"/>
      <c r="BX131" s="113"/>
      <c r="BY131" s="105"/>
      <c r="BZ131" s="113"/>
      <c r="CA131" s="113"/>
      <c r="CB131" s="105"/>
      <c r="CC131" s="113"/>
      <c r="CD131" s="152"/>
      <c r="CE131" s="112"/>
      <c r="CF131" s="113"/>
      <c r="CG131" s="105"/>
      <c r="CH131" s="146"/>
      <c r="CI131" s="105"/>
      <c r="CJ131" s="105"/>
      <c r="CK131" s="112"/>
      <c r="CL131" s="113"/>
      <c r="CM131" s="105"/>
      <c r="CN131" s="152"/>
      <c r="CO131" s="152"/>
      <c r="CP131" s="105"/>
      <c r="CQ131" s="113"/>
      <c r="CR131" s="152"/>
      <c r="CS131" s="112"/>
      <c r="CT131" s="113"/>
      <c r="CU131" s="105"/>
      <c r="CV131" s="146"/>
      <c r="CW131" s="105"/>
      <c r="CX131" s="105"/>
      <c r="CY131" s="112"/>
      <c r="CZ131" s="113"/>
      <c r="DA131" s="105"/>
      <c r="DB131" s="113"/>
      <c r="DC131" s="113"/>
      <c r="DD131" s="105"/>
      <c r="DE131" s="113"/>
      <c r="DF131" s="113"/>
      <c r="DG131" s="112"/>
      <c r="DH131" s="113"/>
      <c r="DI131" s="105"/>
      <c r="DJ131" s="146"/>
      <c r="DK131" s="105"/>
      <c r="DL131" s="105"/>
      <c r="DM131" s="112"/>
      <c r="DN131" s="113"/>
      <c r="DO131" s="105"/>
      <c r="DP131" s="113"/>
      <c r="DQ131" s="113"/>
      <c r="DR131" s="105"/>
      <c r="DS131" s="113"/>
      <c r="DT131" s="113"/>
      <c r="DU131" s="112"/>
      <c r="DV131" s="113"/>
      <c r="DW131" s="105"/>
      <c r="DX131" s="146"/>
      <c r="DY131" s="105"/>
      <c r="DZ131" s="105"/>
      <c r="EA131" s="112"/>
      <c r="EB131" s="113"/>
      <c r="EC131" s="105"/>
      <c r="ED131" s="113"/>
      <c r="EE131" s="113"/>
      <c r="EF131" s="105"/>
      <c r="EG131" s="113"/>
      <c r="EH131" s="113"/>
      <c r="EI131" s="112"/>
      <c r="EJ131" s="113"/>
      <c r="EK131" s="105"/>
      <c r="EL131" s="146"/>
      <c r="EM131" s="72" t="s">
        <v>115</v>
      </c>
      <c r="EN131" s="74">
        <v>2250</v>
      </c>
      <c r="EO131" s="73"/>
      <c r="EP131" s="72" t="s">
        <v>77</v>
      </c>
      <c r="EQ131" s="72"/>
      <c r="ER131" s="75"/>
      <c r="ES131" s="76"/>
      <c r="ET131" s="77"/>
      <c r="EU131" s="77"/>
      <c r="EV131" s="78"/>
      <c r="EW131" s="72"/>
      <c r="EX131" s="72"/>
      <c r="EY131" s="72" t="s">
        <v>100</v>
      </c>
      <c r="EZ131" s="72" t="s">
        <v>114</v>
      </c>
      <c r="FA131" s="72"/>
      <c r="FB131" s="78"/>
      <c r="FC131" s="78"/>
      <c r="FD131" s="146"/>
      <c r="FE131" s="78"/>
      <c r="FF131" s="78"/>
      <c r="FG131" s="78"/>
      <c r="FH131" s="78"/>
      <c r="FI131" s="78"/>
      <c r="FJ131" s="78"/>
      <c r="FK131" s="78"/>
      <c r="FL131" s="78"/>
      <c r="FM131" s="78"/>
      <c r="FN131" s="78"/>
      <c r="FO131" s="146"/>
      <c r="FP131" s="78"/>
      <c r="FQ131" s="78"/>
      <c r="FR131" s="78"/>
      <c r="FS131" s="78"/>
      <c r="FT131" s="78"/>
      <c r="FU131" s="78"/>
      <c r="FV131" s="78"/>
      <c r="FW131" s="78"/>
      <c r="FX131" s="78"/>
      <c r="FY131" s="78"/>
    </row>
    <row r="132" spans="1:181" s="71" customFormat="1" ht="16.350000000000001" customHeight="1" x14ac:dyDescent="0.25">
      <c r="A132" s="109"/>
      <c r="B132" s="70"/>
      <c r="C132" s="110"/>
      <c r="D132" s="110"/>
      <c r="E132" s="146"/>
      <c r="F132" s="109" t="str">
        <f>mehrsprachigkeitBegriffsrückgabe(gewählteSpracheZurückgeben(), "Product (foreign language)")</f>
        <v>Produkt (Fremdsprache)</v>
      </c>
      <c r="G132" s="111"/>
      <c r="H132" s="111" t="s">
        <v>254</v>
      </c>
      <c r="I132" s="111" t="s">
        <v>94</v>
      </c>
      <c r="J132" s="111" t="s">
        <v>299</v>
      </c>
      <c r="K132" s="111"/>
      <c r="L132" s="146"/>
      <c r="M132" s="149"/>
      <c r="N132" s="111"/>
      <c r="O132" s="111"/>
      <c r="P132" s="111"/>
      <c r="Q132" s="111"/>
      <c r="R132" s="111"/>
      <c r="S132" s="111"/>
      <c r="T132" s="111"/>
      <c r="U132" s="111"/>
      <c r="V132" s="111"/>
      <c r="W132" s="111"/>
      <c r="X132" s="111"/>
      <c r="Y132" s="111"/>
      <c r="Z132" s="111"/>
      <c r="AA132" s="111"/>
      <c r="AB132" s="111"/>
      <c r="AC132" s="111"/>
      <c r="AD132" s="111"/>
      <c r="AE132" s="111"/>
      <c r="AF132" s="111"/>
      <c r="AG132" s="111"/>
      <c r="AH132" s="111"/>
      <c r="AI132" s="111"/>
      <c r="AJ132" s="111"/>
      <c r="AK132" s="111"/>
      <c r="AL132" s="111"/>
      <c r="AM132" s="111"/>
      <c r="AN132" s="111"/>
      <c r="AO132" s="111"/>
      <c r="AP132" s="111"/>
      <c r="AQ132" s="111"/>
      <c r="AR132" s="111"/>
      <c r="AS132" s="111"/>
      <c r="AT132" s="111"/>
      <c r="AU132" s="111"/>
      <c r="AV132" s="111"/>
      <c r="AW132" s="111"/>
      <c r="AX132" s="111"/>
      <c r="AY132" s="111"/>
      <c r="AZ132" s="111"/>
      <c r="BA132" s="146"/>
      <c r="BB132" s="104" t="s">
        <v>99</v>
      </c>
      <c r="BC132" s="72" t="s">
        <v>95</v>
      </c>
      <c r="BD132" s="72"/>
      <c r="BE132" s="72"/>
      <c r="BF132" s="146"/>
      <c r="BG132" s="112" t="s">
        <v>113</v>
      </c>
      <c r="BH132" s="113"/>
      <c r="BI132" s="146"/>
      <c r="BJ132" s="105"/>
      <c r="BK132" s="113"/>
      <c r="BL132" s="113"/>
      <c r="BM132" s="105"/>
      <c r="BN132" s="113"/>
      <c r="BO132" s="113"/>
      <c r="BP132" s="146"/>
      <c r="BQ132" s="112" t="s">
        <v>113</v>
      </c>
      <c r="BR132" s="113"/>
      <c r="BS132" s="105"/>
      <c r="BT132" s="146"/>
      <c r="BU132" s="105"/>
      <c r="BV132" s="105"/>
      <c r="BW132" s="112"/>
      <c r="BX132" s="113"/>
      <c r="BY132" s="105"/>
      <c r="BZ132" s="113"/>
      <c r="CA132" s="113"/>
      <c r="CB132" s="105"/>
      <c r="CC132" s="113"/>
      <c r="CD132" s="113"/>
      <c r="CE132" s="112"/>
      <c r="CF132" s="113"/>
      <c r="CG132" s="105"/>
      <c r="CH132" s="146"/>
      <c r="CI132" s="105"/>
      <c r="CJ132" s="105"/>
      <c r="CK132" s="112"/>
      <c r="CL132" s="113"/>
      <c r="CM132" s="105"/>
      <c r="CN132" s="113"/>
      <c r="CO132" s="113"/>
      <c r="CP132" s="105"/>
      <c r="CQ132" s="113"/>
      <c r="CR132" s="113"/>
      <c r="CS132" s="112"/>
      <c r="CT132" s="113"/>
      <c r="CU132" s="105"/>
      <c r="CV132" s="146"/>
      <c r="CW132" s="105"/>
      <c r="CX132" s="105"/>
      <c r="CY132" s="112"/>
      <c r="CZ132" s="113"/>
      <c r="DA132" s="105"/>
      <c r="DB132" s="113"/>
      <c r="DC132" s="113"/>
      <c r="DD132" s="105"/>
      <c r="DE132" s="113"/>
      <c r="DF132" s="113"/>
      <c r="DG132" s="112"/>
      <c r="DH132" s="113"/>
      <c r="DI132" s="105"/>
      <c r="DJ132" s="146"/>
      <c r="DK132" s="105"/>
      <c r="DL132" s="105"/>
      <c r="DM132" s="112"/>
      <c r="DN132" s="113"/>
      <c r="DO132" s="105"/>
      <c r="DP132" s="113"/>
      <c r="DQ132" s="113"/>
      <c r="DR132" s="105"/>
      <c r="DS132" s="113"/>
      <c r="DT132" s="113"/>
      <c r="DU132" s="112"/>
      <c r="DV132" s="113"/>
      <c r="DW132" s="105"/>
      <c r="DX132" s="146"/>
      <c r="DY132" s="105"/>
      <c r="DZ132" s="105"/>
      <c r="EA132" s="112"/>
      <c r="EB132" s="113"/>
      <c r="EC132" s="105"/>
      <c r="ED132" s="113"/>
      <c r="EE132" s="113"/>
      <c r="EF132" s="105"/>
      <c r="EG132" s="113"/>
      <c r="EH132" s="113"/>
      <c r="EI132" s="112"/>
      <c r="EJ132" s="113"/>
      <c r="EK132" s="105"/>
      <c r="EL132" s="146"/>
      <c r="EM132" s="72"/>
      <c r="EN132" s="74"/>
      <c r="EO132" s="73"/>
      <c r="EP132" s="72" t="s">
        <v>96</v>
      </c>
      <c r="EQ132" s="72"/>
      <c r="ER132" s="75"/>
      <c r="ES132" s="76"/>
      <c r="ET132" s="77"/>
      <c r="EU132" s="77"/>
      <c r="EV132" s="78"/>
      <c r="EW132" s="72"/>
      <c r="EX132" s="72"/>
      <c r="EY132" s="72"/>
      <c r="EZ132" s="72"/>
      <c r="FA132" s="72"/>
      <c r="FB132" s="78"/>
      <c r="FC132" s="78"/>
      <c r="FD132" s="146"/>
      <c r="FE132" s="78"/>
      <c r="FF132" s="78"/>
      <c r="FG132" s="78"/>
      <c r="FO132" s="146"/>
      <c r="FP132" s="78"/>
      <c r="FQ132" s="78"/>
      <c r="FR132" s="78"/>
    </row>
    <row r="133" spans="1:181" s="71" customFormat="1" ht="16.350000000000001" customHeight="1" x14ac:dyDescent="0.25">
      <c r="A133" s="109"/>
      <c r="B133" s="70"/>
      <c r="C133" s="110"/>
      <c r="D133" s="110">
        <v>1</v>
      </c>
      <c r="E133" s="146"/>
      <c r="F133" s="109" t="str">
        <f>mehrsprachigkeitBegriffsrückgabe(gewählteSpracheZurückgeben(), "Product")</f>
        <v>Produkt</v>
      </c>
      <c r="G133" s="111" t="s">
        <v>255</v>
      </c>
      <c r="H133" s="111"/>
      <c r="I133" s="111" t="s">
        <v>86</v>
      </c>
      <c r="J133" s="111" t="s">
        <v>348</v>
      </c>
      <c r="K133" s="111"/>
      <c r="L133" s="146"/>
      <c r="M133" s="149" t="s">
        <v>392</v>
      </c>
      <c r="N133" s="111" t="s">
        <v>396</v>
      </c>
      <c r="O133" s="114"/>
      <c r="P133" s="114" t="s">
        <v>113</v>
      </c>
      <c r="Q133" s="111"/>
      <c r="R133" s="111"/>
      <c r="S133" s="111"/>
      <c r="T133" s="111"/>
      <c r="U133" s="111"/>
      <c r="V133" s="111"/>
      <c r="W133" s="111"/>
      <c r="X133" s="111"/>
      <c r="Y133" s="111"/>
      <c r="Z133" s="111"/>
      <c r="AA133" s="111"/>
      <c r="AB133" s="111"/>
      <c r="AC133" s="111"/>
      <c r="AD133" s="111"/>
      <c r="AE133" s="111"/>
      <c r="AF133" s="111"/>
      <c r="AG133" s="111"/>
      <c r="AH133" s="111"/>
      <c r="AI133" s="111"/>
      <c r="AJ133" s="111"/>
      <c r="AK133" s="111"/>
      <c r="AL133" s="111"/>
      <c r="AM133" s="111"/>
      <c r="AN133" s="111"/>
      <c r="AO133" s="111"/>
      <c r="AP133" s="111"/>
      <c r="AQ133" s="111"/>
      <c r="AR133" s="111"/>
      <c r="AS133" s="111"/>
      <c r="AT133" s="111"/>
      <c r="AU133" s="111"/>
      <c r="AV133" s="111"/>
      <c r="AW133" s="111"/>
      <c r="AX133" s="111"/>
      <c r="AY133" s="111"/>
      <c r="AZ133" s="111"/>
      <c r="BA133" s="146"/>
      <c r="BB133" s="104" t="s">
        <v>98</v>
      </c>
      <c r="BC133" s="72" t="s">
        <v>93</v>
      </c>
      <c r="BD133" s="72" t="s">
        <v>404</v>
      </c>
      <c r="BE133" s="72" t="s">
        <v>417</v>
      </c>
      <c r="BF133" s="146"/>
      <c r="BG133" s="112">
        <v>69.900000000000006</v>
      </c>
      <c r="BH133" s="113"/>
      <c r="BI133" s="146"/>
      <c r="BJ133" s="105">
        <v>1</v>
      </c>
      <c r="BK133" s="113" t="str">
        <f>mehrsprachigkeitBegriffsrückgabe(gewählteSpracheZurückgeben(), "Fixed scale price")</f>
        <v>Feste Preisangabe</v>
      </c>
      <c r="BL133" s="113" t="str">
        <f>mehrsprachigkeitBegriffsrückgabe(gewählteSpracheZurückgeben(), "Separated by products, variants and configurations")</f>
        <v>Produkte, Varianten und Konfigurationen getrennt</v>
      </c>
      <c r="BM133" s="105">
        <v>1</v>
      </c>
      <c r="BN133" s="113"/>
      <c r="BO133" s="152" t="s">
        <v>407</v>
      </c>
      <c r="BP133" s="146"/>
      <c r="BQ133" s="112">
        <v>79.900000000000006</v>
      </c>
      <c r="BR133" s="113"/>
      <c r="BS133" s="105">
        <v>1</v>
      </c>
      <c r="BT133" s="146"/>
      <c r="BU133" s="105"/>
      <c r="BV133" s="105"/>
      <c r="BW133" s="112"/>
      <c r="BX133" s="113"/>
      <c r="BY133" s="105"/>
      <c r="BZ133" s="113"/>
      <c r="CA133" s="113"/>
      <c r="CB133" s="105"/>
      <c r="CC133" s="113"/>
      <c r="CD133" s="152"/>
      <c r="CE133" s="112"/>
      <c r="CF133" s="113"/>
      <c r="CG133" s="105"/>
      <c r="CH133" s="146"/>
      <c r="CI133" s="105"/>
      <c r="CJ133" s="105"/>
      <c r="CK133" s="112"/>
      <c r="CL133" s="113"/>
      <c r="CM133" s="105"/>
      <c r="CN133" s="152"/>
      <c r="CO133" s="152"/>
      <c r="CP133" s="105"/>
      <c r="CQ133" s="113"/>
      <c r="CR133" s="152"/>
      <c r="CS133" s="112"/>
      <c r="CT133" s="113"/>
      <c r="CU133" s="105"/>
      <c r="CV133" s="146"/>
      <c r="CW133" s="105"/>
      <c r="CX133" s="105"/>
      <c r="CY133" s="112"/>
      <c r="CZ133" s="113"/>
      <c r="DA133" s="105"/>
      <c r="DB133" s="113"/>
      <c r="DC133" s="113"/>
      <c r="DD133" s="105"/>
      <c r="DE133" s="113"/>
      <c r="DF133" s="113"/>
      <c r="DG133" s="112"/>
      <c r="DH133" s="113"/>
      <c r="DI133" s="105"/>
      <c r="DJ133" s="146"/>
      <c r="DK133" s="105"/>
      <c r="DL133" s="105"/>
      <c r="DM133" s="112"/>
      <c r="DN133" s="113"/>
      <c r="DO133" s="105"/>
      <c r="DP133" s="113"/>
      <c r="DQ133" s="113"/>
      <c r="DR133" s="105"/>
      <c r="DS133" s="113"/>
      <c r="DT133" s="113"/>
      <c r="DU133" s="112"/>
      <c r="DV133" s="113"/>
      <c r="DW133" s="105"/>
      <c r="DX133" s="146"/>
      <c r="DY133" s="105"/>
      <c r="DZ133" s="105"/>
      <c r="EA133" s="112"/>
      <c r="EB133" s="113"/>
      <c r="EC133" s="105"/>
      <c r="ED133" s="113"/>
      <c r="EE133" s="113"/>
      <c r="EF133" s="105"/>
      <c r="EG133" s="113"/>
      <c r="EH133" s="113"/>
      <c r="EI133" s="112"/>
      <c r="EJ133" s="113"/>
      <c r="EK133" s="105"/>
      <c r="EL133" s="146"/>
      <c r="EM133" s="72" t="s">
        <v>115</v>
      </c>
      <c r="EN133" s="74">
        <v>2250</v>
      </c>
      <c r="EO133" s="73"/>
      <c r="EP133" s="72" t="s">
        <v>77</v>
      </c>
      <c r="EQ133" s="72"/>
      <c r="ER133" s="75"/>
      <c r="ES133" s="76"/>
      <c r="ET133" s="77"/>
      <c r="EU133" s="77">
        <v>1</v>
      </c>
      <c r="EV133" s="78"/>
      <c r="EW133" s="72"/>
      <c r="EX133" s="72"/>
      <c r="EY133" s="72" t="s">
        <v>100</v>
      </c>
      <c r="EZ133" s="72" t="s">
        <v>114</v>
      </c>
      <c r="FA133" s="72"/>
      <c r="FB133" s="78"/>
      <c r="FC133" s="78"/>
      <c r="FD133" s="146"/>
      <c r="FE133" s="78"/>
      <c r="FF133" s="78"/>
      <c r="FG133" s="78"/>
      <c r="FH133" s="78"/>
      <c r="FI133" s="78"/>
      <c r="FJ133" s="78"/>
      <c r="FK133" s="78"/>
      <c r="FL133" s="78"/>
      <c r="FM133" s="78"/>
      <c r="FN133" s="78"/>
      <c r="FO133" s="146"/>
      <c r="FP133" s="78"/>
      <c r="FQ133" s="78"/>
      <c r="FR133" s="78"/>
      <c r="FS133" s="78"/>
      <c r="FT133" s="78"/>
      <c r="FU133" s="78"/>
      <c r="FV133" s="78"/>
      <c r="FW133" s="78"/>
      <c r="FX133" s="78"/>
      <c r="FY133" s="78"/>
    </row>
    <row r="134" spans="1:181" s="71" customFormat="1" ht="16.350000000000001" customHeight="1" x14ac:dyDescent="0.25">
      <c r="A134" s="109"/>
      <c r="B134" s="70"/>
      <c r="C134" s="110"/>
      <c r="D134" s="110"/>
      <c r="E134" s="146"/>
      <c r="F134" s="109" t="str">
        <f>mehrsprachigkeitBegriffsrückgabe(gewählteSpracheZurückgeben(), "Product (foreign language)")</f>
        <v>Produkt (Fremdsprache)</v>
      </c>
      <c r="G134" s="111"/>
      <c r="H134" s="111" t="s">
        <v>255</v>
      </c>
      <c r="I134" s="111" t="s">
        <v>94</v>
      </c>
      <c r="J134" s="111" t="s">
        <v>300</v>
      </c>
      <c r="K134" s="111"/>
      <c r="L134" s="146"/>
      <c r="M134" s="149"/>
      <c r="N134" s="111"/>
      <c r="O134" s="111"/>
      <c r="P134" s="111"/>
      <c r="Q134" s="111"/>
      <c r="R134" s="111"/>
      <c r="S134" s="111"/>
      <c r="T134" s="111"/>
      <c r="U134" s="111"/>
      <c r="V134" s="111"/>
      <c r="W134" s="111"/>
      <c r="X134" s="111"/>
      <c r="Y134" s="111"/>
      <c r="Z134" s="111"/>
      <c r="AA134" s="111"/>
      <c r="AB134" s="111"/>
      <c r="AC134" s="111"/>
      <c r="AD134" s="111"/>
      <c r="AE134" s="111"/>
      <c r="AF134" s="111"/>
      <c r="AG134" s="111"/>
      <c r="AH134" s="111"/>
      <c r="AI134" s="111"/>
      <c r="AJ134" s="111"/>
      <c r="AK134" s="111"/>
      <c r="AL134" s="111"/>
      <c r="AM134" s="111"/>
      <c r="AN134" s="111"/>
      <c r="AO134" s="111"/>
      <c r="AP134" s="111"/>
      <c r="AQ134" s="111"/>
      <c r="AR134" s="111"/>
      <c r="AS134" s="111"/>
      <c r="AT134" s="111"/>
      <c r="AU134" s="111"/>
      <c r="AV134" s="111"/>
      <c r="AW134" s="111"/>
      <c r="AX134" s="111"/>
      <c r="AY134" s="111"/>
      <c r="AZ134" s="111"/>
      <c r="BA134" s="146"/>
      <c r="BB134" s="104" t="s">
        <v>99</v>
      </c>
      <c r="BC134" s="72" t="s">
        <v>95</v>
      </c>
      <c r="BD134" s="72"/>
      <c r="BE134" s="72"/>
      <c r="BF134" s="146"/>
      <c r="BG134" s="112" t="s">
        <v>113</v>
      </c>
      <c r="BH134" s="113"/>
      <c r="BI134" s="146"/>
      <c r="BJ134" s="105"/>
      <c r="BK134" s="113"/>
      <c r="BL134" s="113"/>
      <c r="BM134" s="105"/>
      <c r="BN134" s="113"/>
      <c r="BO134" s="113"/>
      <c r="BP134" s="146"/>
      <c r="BQ134" s="112" t="s">
        <v>113</v>
      </c>
      <c r="BR134" s="113"/>
      <c r="BS134" s="105"/>
      <c r="BT134" s="146"/>
      <c r="BU134" s="105"/>
      <c r="BV134" s="105"/>
      <c r="BW134" s="112"/>
      <c r="BX134" s="113"/>
      <c r="BY134" s="105"/>
      <c r="BZ134" s="113"/>
      <c r="CA134" s="113"/>
      <c r="CB134" s="105"/>
      <c r="CC134" s="113"/>
      <c r="CD134" s="113"/>
      <c r="CE134" s="112"/>
      <c r="CF134" s="113"/>
      <c r="CG134" s="105"/>
      <c r="CH134" s="146"/>
      <c r="CI134" s="105"/>
      <c r="CJ134" s="105"/>
      <c r="CK134" s="112"/>
      <c r="CL134" s="113"/>
      <c r="CM134" s="105"/>
      <c r="CN134" s="113"/>
      <c r="CO134" s="113"/>
      <c r="CP134" s="105"/>
      <c r="CQ134" s="113"/>
      <c r="CR134" s="113"/>
      <c r="CS134" s="112"/>
      <c r="CT134" s="113"/>
      <c r="CU134" s="105"/>
      <c r="CV134" s="146"/>
      <c r="CW134" s="105"/>
      <c r="CX134" s="105"/>
      <c r="CY134" s="112"/>
      <c r="CZ134" s="113"/>
      <c r="DA134" s="105"/>
      <c r="DB134" s="113"/>
      <c r="DC134" s="113"/>
      <c r="DD134" s="105"/>
      <c r="DE134" s="113"/>
      <c r="DF134" s="113"/>
      <c r="DG134" s="112"/>
      <c r="DH134" s="113"/>
      <c r="DI134" s="105"/>
      <c r="DJ134" s="146"/>
      <c r="DK134" s="105"/>
      <c r="DL134" s="105"/>
      <c r="DM134" s="112"/>
      <c r="DN134" s="113"/>
      <c r="DO134" s="105"/>
      <c r="DP134" s="113"/>
      <c r="DQ134" s="113"/>
      <c r="DR134" s="105"/>
      <c r="DS134" s="113"/>
      <c r="DT134" s="113"/>
      <c r="DU134" s="112"/>
      <c r="DV134" s="113"/>
      <c r="DW134" s="105"/>
      <c r="DX134" s="146"/>
      <c r="DY134" s="105"/>
      <c r="DZ134" s="105"/>
      <c r="EA134" s="112"/>
      <c r="EB134" s="113"/>
      <c r="EC134" s="105"/>
      <c r="ED134" s="113"/>
      <c r="EE134" s="113"/>
      <c r="EF134" s="105"/>
      <c r="EG134" s="113"/>
      <c r="EH134" s="113"/>
      <c r="EI134" s="112"/>
      <c r="EJ134" s="113"/>
      <c r="EK134" s="105"/>
      <c r="EL134" s="146"/>
      <c r="EM134" s="72"/>
      <c r="EN134" s="74"/>
      <c r="EO134" s="73"/>
      <c r="EP134" s="72" t="s">
        <v>96</v>
      </c>
      <c r="EQ134" s="72"/>
      <c r="ER134" s="75"/>
      <c r="ES134" s="76"/>
      <c r="ET134" s="77"/>
      <c r="EU134" s="77"/>
      <c r="EV134" s="78"/>
      <c r="EW134" s="72"/>
      <c r="EX134" s="72"/>
      <c r="EY134" s="72"/>
      <c r="EZ134" s="72"/>
      <c r="FA134" s="72"/>
      <c r="FB134" s="78"/>
      <c r="FC134" s="78"/>
      <c r="FD134" s="146"/>
      <c r="FE134" s="78"/>
      <c r="FF134" s="78"/>
      <c r="FG134" s="78"/>
      <c r="FO134" s="146"/>
      <c r="FP134" s="78"/>
      <c r="FQ134" s="78"/>
      <c r="FR134" s="78"/>
    </row>
    <row r="135" spans="1:181" s="71" customFormat="1" ht="16.350000000000001" customHeight="1" x14ac:dyDescent="0.25">
      <c r="A135" s="109"/>
      <c r="B135" s="70"/>
      <c r="C135" s="110"/>
      <c r="D135" s="110">
        <v>1</v>
      </c>
      <c r="E135" s="146"/>
      <c r="F135" s="109" t="str">
        <f>mehrsprachigkeitBegriffsrückgabe(gewählteSpracheZurückgeben(), "Product")</f>
        <v>Produkt</v>
      </c>
      <c r="G135" s="111" t="s">
        <v>256</v>
      </c>
      <c r="H135" s="111"/>
      <c r="I135" s="111" t="s">
        <v>86</v>
      </c>
      <c r="J135" s="111" t="s">
        <v>349</v>
      </c>
      <c r="K135" s="111"/>
      <c r="L135" s="146"/>
      <c r="M135" s="149" t="s">
        <v>392</v>
      </c>
      <c r="N135" s="111" t="s">
        <v>394</v>
      </c>
      <c r="O135" s="114"/>
      <c r="P135" s="114" t="s">
        <v>113</v>
      </c>
      <c r="Q135" s="111"/>
      <c r="R135" s="111"/>
      <c r="S135" s="111"/>
      <c r="T135" s="111"/>
      <c r="U135" s="111"/>
      <c r="V135" s="111"/>
      <c r="W135" s="111"/>
      <c r="X135" s="111"/>
      <c r="Y135" s="111"/>
      <c r="Z135" s="111"/>
      <c r="AA135" s="111"/>
      <c r="AB135" s="111"/>
      <c r="AC135" s="111"/>
      <c r="AD135" s="111"/>
      <c r="AE135" s="111"/>
      <c r="AF135" s="111"/>
      <c r="AG135" s="111"/>
      <c r="AH135" s="111"/>
      <c r="AI135" s="111"/>
      <c r="AJ135" s="111"/>
      <c r="AK135" s="111"/>
      <c r="AL135" s="111"/>
      <c r="AM135" s="111"/>
      <c r="AN135" s="111"/>
      <c r="AO135" s="111"/>
      <c r="AP135" s="111"/>
      <c r="AQ135" s="111"/>
      <c r="AR135" s="111"/>
      <c r="AS135" s="111"/>
      <c r="AT135" s="111"/>
      <c r="AU135" s="111"/>
      <c r="AV135" s="111"/>
      <c r="AW135" s="111"/>
      <c r="AX135" s="111"/>
      <c r="AY135" s="111"/>
      <c r="AZ135" s="111"/>
      <c r="BA135" s="146"/>
      <c r="BB135" s="104" t="s">
        <v>98</v>
      </c>
      <c r="BC135" s="72" t="s">
        <v>93</v>
      </c>
      <c r="BD135" s="72" t="s">
        <v>404</v>
      </c>
      <c r="BE135" s="72" t="s">
        <v>412</v>
      </c>
      <c r="BF135" s="146"/>
      <c r="BG135" s="112">
        <v>89.9</v>
      </c>
      <c r="BH135" s="113"/>
      <c r="BI135" s="146"/>
      <c r="BJ135" s="105">
        <v>1</v>
      </c>
      <c r="BK135" s="113" t="str">
        <f>mehrsprachigkeitBegriffsrückgabe(gewählteSpracheZurückgeben(), "Fixed scale price")</f>
        <v>Feste Preisangabe</v>
      </c>
      <c r="BL135" s="113" t="str">
        <f>mehrsprachigkeitBegriffsrückgabe(gewählteSpracheZurückgeben(), "Separated by products, variants and configurations")</f>
        <v>Produkte, Varianten und Konfigurationen getrennt</v>
      </c>
      <c r="BM135" s="105">
        <v>1</v>
      </c>
      <c r="BN135" s="113"/>
      <c r="BO135" s="152" t="s">
        <v>406</v>
      </c>
      <c r="BP135" s="146"/>
      <c r="BQ135" s="112" t="s">
        <v>113</v>
      </c>
      <c r="BR135" s="113"/>
      <c r="BS135" s="105"/>
      <c r="BT135" s="146"/>
      <c r="BU135" s="105"/>
      <c r="BV135" s="105"/>
      <c r="BW135" s="112"/>
      <c r="BX135" s="113"/>
      <c r="BY135" s="105"/>
      <c r="BZ135" s="113"/>
      <c r="CA135" s="113"/>
      <c r="CB135" s="105"/>
      <c r="CC135" s="113"/>
      <c r="CD135" s="152"/>
      <c r="CE135" s="112"/>
      <c r="CF135" s="113"/>
      <c r="CG135" s="105"/>
      <c r="CH135" s="146"/>
      <c r="CI135" s="105"/>
      <c r="CJ135" s="105"/>
      <c r="CK135" s="112"/>
      <c r="CL135" s="113"/>
      <c r="CM135" s="105"/>
      <c r="CN135" s="152"/>
      <c r="CO135" s="152"/>
      <c r="CP135" s="105"/>
      <c r="CQ135" s="113"/>
      <c r="CR135" s="152"/>
      <c r="CS135" s="112"/>
      <c r="CT135" s="113"/>
      <c r="CU135" s="105"/>
      <c r="CV135" s="146"/>
      <c r="CW135" s="105"/>
      <c r="CX135" s="105"/>
      <c r="CY135" s="112"/>
      <c r="CZ135" s="113"/>
      <c r="DA135" s="105"/>
      <c r="DB135" s="113"/>
      <c r="DC135" s="113"/>
      <c r="DD135" s="105"/>
      <c r="DE135" s="113"/>
      <c r="DF135" s="113"/>
      <c r="DG135" s="112"/>
      <c r="DH135" s="113"/>
      <c r="DI135" s="105"/>
      <c r="DJ135" s="146"/>
      <c r="DK135" s="105"/>
      <c r="DL135" s="105"/>
      <c r="DM135" s="112"/>
      <c r="DN135" s="113"/>
      <c r="DO135" s="105"/>
      <c r="DP135" s="113"/>
      <c r="DQ135" s="113"/>
      <c r="DR135" s="105"/>
      <c r="DS135" s="113"/>
      <c r="DT135" s="113"/>
      <c r="DU135" s="112"/>
      <c r="DV135" s="113"/>
      <c r="DW135" s="105"/>
      <c r="DX135" s="146"/>
      <c r="DY135" s="105"/>
      <c r="DZ135" s="105"/>
      <c r="EA135" s="112"/>
      <c r="EB135" s="113"/>
      <c r="EC135" s="105"/>
      <c r="ED135" s="113"/>
      <c r="EE135" s="113"/>
      <c r="EF135" s="105"/>
      <c r="EG135" s="113"/>
      <c r="EH135" s="113"/>
      <c r="EI135" s="112"/>
      <c r="EJ135" s="113"/>
      <c r="EK135" s="105"/>
      <c r="EL135" s="146"/>
      <c r="EM135" s="72" t="s">
        <v>115</v>
      </c>
      <c r="EN135" s="74">
        <v>2250</v>
      </c>
      <c r="EO135" s="73"/>
      <c r="EP135" s="72" t="s">
        <v>77</v>
      </c>
      <c r="EQ135" s="72"/>
      <c r="ER135" s="75"/>
      <c r="ES135" s="76"/>
      <c r="ET135" s="77"/>
      <c r="EU135" s="77"/>
      <c r="EV135" s="78"/>
      <c r="EW135" s="72"/>
      <c r="EX135" s="72"/>
      <c r="EY135" s="72" t="s">
        <v>100</v>
      </c>
      <c r="EZ135" s="72" t="s">
        <v>114</v>
      </c>
      <c r="FA135" s="72"/>
      <c r="FB135" s="78"/>
      <c r="FC135" s="78"/>
      <c r="FD135" s="146"/>
      <c r="FE135" s="78"/>
      <c r="FF135" s="78"/>
      <c r="FG135" s="78"/>
      <c r="FH135" s="78"/>
      <c r="FI135" s="78"/>
      <c r="FJ135" s="78"/>
      <c r="FK135" s="78"/>
      <c r="FL135" s="78"/>
      <c r="FM135" s="78"/>
      <c r="FN135" s="78"/>
      <c r="FO135" s="146"/>
      <c r="FP135" s="78"/>
      <c r="FQ135" s="78"/>
      <c r="FR135" s="78"/>
      <c r="FS135" s="78"/>
      <c r="FT135" s="78"/>
      <c r="FU135" s="78"/>
      <c r="FV135" s="78"/>
      <c r="FW135" s="78"/>
      <c r="FX135" s="78"/>
      <c r="FY135" s="78"/>
    </row>
    <row r="136" spans="1:181" s="71" customFormat="1" ht="16.350000000000001" customHeight="1" x14ac:dyDescent="0.25">
      <c r="A136" s="109"/>
      <c r="B136" s="70"/>
      <c r="C136" s="110"/>
      <c r="D136" s="110"/>
      <c r="E136" s="146"/>
      <c r="F136" s="109" t="str">
        <f>mehrsprachigkeitBegriffsrückgabe(gewählteSpracheZurückgeben(), "Product (foreign language)")</f>
        <v>Produkt (Fremdsprache)</v>
      </c>
      <c r="G136" s="111"/>
      <c r="H136" s="111" t="s">
        <v>256</v>
      </c>
      <c r="I136" s="111" t="s">
        <v>94</v>
      </c>
      <c r="J136" s="111" t="s">
        <v>301</v>
      </c>
      <c r="K136" s="111"/>
      <c r="L136" s="146"/>
      <c r="M136" s="149"/>
      <c r="N136" s="111"/>
      <c r="O136" s="111"/>
      <c r="P136" s="111"/>
      <c r="Q136" s="111"/>
      <c r="R136" s="111"/>
      <c r="S136" s="111"/>
      <c r="T136" s="111"/>
      <c r="U136" s="111"/>
      <c r="V136" s="111"/>
      <c r="W136" s="111"/>
      <c r="X136" s="111"/>
      <c r="Y136" s="111"/>
      <c r="Z136" s="111"/>
      <c r="AA136" s="111"/>
      <c r="AB136" s="111"/>
      <c r="AC136" s="111"/>
      <c r="AD136" s="111"/>
      <c r="AE136" s="111"/>
      <c r="AF136" s="111"/>
      <c r="AG136" s="111"/>
      <c r="AH136" s="111"/>
      <c r="AI136" s="111"/>
      <c r="AJ136" s="111"/>
      <c r="AK136" s="111"/>
      <c r="AL136" s="111"/>
      <c r="AM136" s="111"/>
      <c r="AN136" s="111"/>
      <c r="AO136" s="111"/>
      <c r="AP136" s="111"/>
      <c r="AQ136" s="111"/>
      <c r="AR136" s="111"/>
      <c r="AS136" s="111"/>
      <c r="AT136" s="111"/>
      <c r="AU136" s="111"/>
      <c r="AV136" s="111"/>
      <c r="AW136" s="111"/>
      <c r="AX136" s="111"/>
      <c r="AY136" s="111"/>
      <c r="AZ136" s="111"/>
      <c r="BA136" s="146"/>
      <c r="BB136" s="104" t="s">
        <v>99</v>
      </c>
      <c r="BC136" s="72" t="s">
        <v>95</v>
      </c>
      <c r="BD136" s="72"/>
      <c r="BE136" s="72"/>
      <c r="BF136" s="146"/>
      <c r="BG136" s="112" t="s">
        <v>113</v>
      </c>
      <c r="BH136" s="113"/>
      <c r="BI136" s="146"/>
      <c r="BJ136" s="105"/>
      <c r="BK136" s="113"/>
      <c r="BL136" s="113"/>
      <c r="BM136" s="105"/>
      <c r="BN136" s="113"/>
      <c r="BO136" s="113"/>
      <c r="BP136" s="146"/>
      <c r="BQ136" s="112" t="s">
        <v>113</v>
      </c>
      <c r="BR136" s="113"/>
      <c r="BS136" s="105"/>
      <c r="BT136" s="146"/>
      <c r="BU136" s="105"/>
      <c r="BV136" s="105"/>
      <c r="BW136" s="112"/>
      <c r="BX136" s="113"/>
      <c r="BY136" s="105"/>
      <c r="BZ136" s="113"/>
      <c r="CA136" s="113"/>
      <c r="CB136" s="105"/>
      <c r="CC136" s="113"/>
      <c r="CD136" s="113"/>
      <c r="CE136" s="112"/>
      <c r="CF136" s="113"/>
      <c r="CG136" s="105"/>
      <c r="CH136" s="146"/>
      <c r="CI136" s="105"/>
      <c r="CJ136" s="105"/>
      <c r="CK136" s="112"/>
      <c r="CL136" s="113"/>
      <c r="CM136" s="105"/>
      <c r="CN136" s="113"/>
      <c r="CO136" s="113"/>
      <c r="CP136" s="105"/>
      <c r="CQ136" s="113"/>
      <c r="CR136" s="113"/>
      <c r="CS136" s="112"/>
      <c r="CT136" s="113"/>
      <c r="CU136" s="105"/>
      <c r="CV136" s="146"/>
      <c r="CW136" s="105"/>
      <c r="CX136" s="105"/>
      <c r="CY136" s="112"/>
      <c r="CZ136" s="113"/>
      <c r="DA136" s="105"/>
      <c r="DB136" s="113"/>
      <c r="DC136" s="113"/>
      <c r="DD136" s="105"/>
      <c r="DE136" s="113"/>
      <c r="DF136" s="113"/>
      <c r="DG136" s="112"/>
      <c r="DH136" s="113"/>
      <c r="DI136" s="105"/>
      <c r="DJ136" s="146"/>
      <c r="DK136" s="105"/>
      <c r="DL136" s="105"/>
      <c r="DM136" s="112"/>
      <c r="DN136" s="113"/>
      <c r="DO136" s="105"/>
      <c r="DP136" s="113"/>
      <c r="DQ136" s="113"/>
      <c r="DR136" s="105"/>
      <c r="DS136" s="113"/>
      <c r="DT136" s="113"/>
      <c r="DU136" s="112"/>
      <c r="DV136" s="113"/>
      <c r="DW136" s="105"/>
      <c r="DX136" s="146"/>
      <c r="DY136" s="105"/>
      <c r="DZ136" s="105"/>
      <c r="EA136" s="112"/>
      <c r="EB136" s="113"/>
      <c r="EC136" s="105"/>
      <c r="ED136" s="113"/>
      <c r="EE136" s="113"/>
      <c r="EF136" s="105"/>
      <c r="EG136" s="113"/>
      <c r="EH136" s="113"/>
      <c r="EI136" s="112"/>
      <c r="EJ136" s="113"/>
      <c r="EK136" s="105"/>
      <c r="EL136" s="146"/>
      <c r="EM136" s="72"/>
      <c r="EN136" s="74"/>
      <c r="EO136" s="73"/>
      <c r="EP136" s="72" t="s">
        <v>96</v>
      </c>
      <c r="EQ136" s="72"/>
      <c r="ER136" s="75"/>
      <c r="ES136" s="76"/>
      <c r="ET136" s="77"/>
      <c r="EU136" s="77"/>
      <c r="EV136" s="78"/>
      <c r="EW136" s="72"/>
      <c r="EX136" s="72"/>
      <c r="EY136" s="72"/>
      <c r="EZ136" s="72"/>
      <c r="FA136" s="72"/>
      <c r="FB136" s="78"/>
      <c r="FC136" s="78"/>
      <c r="FD136" s="146"/>
      <c r="FE136" s="78"/>
      <c r="FF136" s="78"/>
      <c r="FG136" s="78"/>
      <c r="FO136" s="146"/>
      <c r="FP136" s="78"/>
      <c r="FQ136" s="78"/>
      <c r="FR136" s="78"/>
    </row>
    <row r="137" spans="1:181" s="71" customFormat="1" ht="16.350000000000001" customHeight="1" x14ac:dyDescent="0.25">
      <c r="A137" s="109"/>
      <c r="B137" s="70"/>
      <c r="C137" s="110"/>
      <c r="D137" s="110">
        <v>1</v>
      </c>
      <c r="E137" s="146"/>
      <c r="F137" s="109" t="str">
        <f>mehrsprachigkeitBegriffsrückgabe(gewählteSpracheZurückgeben(), "Product")</f>
        <v>Produkt</v>
      </c>
      <c r="G137" s="111" t="s">
        <v>257</v>
      </c>
      <c r="H137" s="111"/>
      <c r="I137" s="111" t="s">
        <v>86</v>
      </c>
      <c r="J137" s="111" t="s">
        <v>350</v>
      </c>
      <c r="K137" s="111"/>
      <c r="L137" s="146"/>
      <c r="M137" s="149" t="s">
        <v>392</v>
      </c>
      <c r="N137" s="111" t="s">
        <v>400</v>
      </c>
      <c r="O137" s="114" t="s">
        <v>392</v>
      </c>
      <c r="P137" s="114" t="s">
        <v>394</v>
      </c>
      <c r="Q137" s="111"/>
      <c r="R137" s="111" t="s">
        <v>113</v>
      </c>
      <c r="S137" s="111"/>
      <c r="T137" s="111"/>
      <c r="U137" s="111"/>
      <c r="V137" s="111"/>
      <c r="W137" s="111"/>
      <c r="X137" s="111"/>
      <c r="Y137" s="111"/>
      <c r="Z137" s="111"/>
      <c r="AA137" s="111"/>
      <c r="AB137" s="111"/>
      <c r="AC137" s="111"/>
      <c r="AD137" s="111"/>
      <c r="AE137" s="111"/>
      <c r="AF137" s="111"/>
      <c r="AG137" s="111"/>
      <c r="AH137" s="111"/>
      <c r="AI137" s="111"/>
      <c r="AJ137" s="111"/>
      <c r="AK137" s="111"/>
      <c r="AL137" s="111"/>
      <c r="AM137" s="111"/>
      <c r="AN137" s="111"/>
      <c r="AO137" s="111"/>
      <c r="AP137" s="111"/>
      <c r="AQ137" s="111"/>
      <c r="AR137" s="111"/>
      <c r="AS137" s="111"/>
      <c r="AT137" s="111"/>
      <c r="AU137" s="111"/>
      <c r="AV137" s="111"/>
      <c r="AW137" s="111"/>
      <c r="AX137" s="111"/>
      <c r="AY137" s="111"/>
      <c r="AZ137" s="111"/>
      <c r="BA137" s="146"/>
      <c r="BB137" s="104" t="s">
        <v>98</v>
      </c>
      <c r="BC137" s="72" t="s">
        <v>93</v>
      </c>
      <c r="BD137" s="72" t="s">
        <v>404</v>
      </c>
      <c r="BE137" s="72" t="s">
        <v>414</v>
      </c>
      <c r="BF137" s="146"/>
      <c r="BG137" s="112">
        <v>59.9</v>
      </c>
      <c r="BH137" s="113"/>
      <c r="BI137" s="146"/>
      <c r="BJ137" s="105">
        <v>1</v>
      </c>
      <c r="BK137" s="113" t="str">
        <f>mehrsprachigkeitBegriffsrückgabe(gewählteSpracheZurückgeben(), "Fixed scale price")</f>
        <v>Feste Preisangabe</v>
      </c>
      <c r="BL137" s="113" t="str">
        <f>mehrsprachigkeitBegriffsrückgabe(gewählteSpracheZurückgeben(), "Separated by products, variants and configurations")</f>
        <v>Produkte, Varianten und Konfigurationen getrennt</v>
      </c>
      <c r="BM137" s="105">
        <v>1</v>
      </c>
      <c r="BN137" s="113"/>
      <c r="BO137" s="152" t="s">
        <v>405</v>
      </c>
      <c r="BP137" s="146"/>
      <c r="BQ137" s="112" t="s">
        <v>113</v>
      </c>
      <c r="BR137" s="113"/>
      <c r="BS137" s="105"/>
      <c r="BT137" s="146"/>
      <c r="BU137" s="105"/>
      <c r="BV137" s="105"/>
      <c r="BW137" s="112"/>
      <c r="BX137" s="113"/>
      <c r="BY137" s="105"/>
      <c r="BZ137" s="113"/>
      <c r="CA137" s="113"/>
      <c r="CB137" s="105"/>
      <c r="CC137" s="113"/>
      <c r="CD137" s="152"/>
      <c r="CE137" s="112"/>
      <c r="CF137" s="113"/>
      <c r="CG137" s="105"/>
      <c r="CH137" s="146"/>
      <c r="CI137" s="105"/>
      <c r="CJ137" s="105"/>
      <c r="CK137" s="112"/>
      <c r="CL137" s="113"/>
      <c r="CM137" s="105"/>
      <c r="CN137" s="152"/>
      <c r="CO137" s="152"/>
      <c r="CP137" s="105"/>
      <c r="CQ137" s="113"/>
      <c r="CR137" s="152"/>
      <c r="CS137" s="112"/>
      <c r="CT137" s="113"/>
      <c r="CU137" s="105"/>
      <c r="CV137" s="146"/>
      <c r="CW137" s="105"/>
      <c r="CX137" s="105"/>
      <c r="CY137" s="112"/>
      <c r="CZ137" s="113"/>
      <c r="DA137" s="105"/>
      <c r="DB137" s="113"/>
      <c r="DC137" s="113"/>
      <c r="DD137" s="105"/>
      <c r="DE137" s="113"/>
      <c r="DF137" s="113"/>
      <c r="DG137" s="112"/>
      <c r="DH137" s="113"/>
      <c r="DI137" s="105"/>
      <c r="DJ137" s="146"/>
      <c r="DK137" s="105"/>
      <c r="DL137" s="105"/>
      <c r="DM137" s="112"/>
      <c r="DN137" s="113"/>
      <c r="DO137" s="105"/>
      <c r="DP137" s="113"/>
      <c r="DQ137" s="113"/>
      <c r="DR137" s="105"/>
      <c r="DS137" s="113"/>
      <c r="DT137" s="113"/>
      <c r="DU137" s="112"/>
      <c r="DV137" s="113"/>
      <c r="DW137" s="105"/>
      <c r="DX137" s="146"/>
      <c r="DY137" s="105"/>
      <c r="DZ137" s="105"/>
      <c r="EA137" s="112"/>
      <c r="EB137" s="113"/>
      <c r="EC137" s="105"/>
      <c r="ED137" s="113"/>
      <c r="EE137" s="113"/>
      <c r="EF137" s="105"/>
      <c r="EG137" s="113"/>
      <c r="EH137" s="113"/>
      <c r="EI137" s="112"/>
      <c r="EJ137" s="113"/>
      <c r="EK137" s="105"/>
      <c r="EL137" s="146"/>
      <c r="EM137" s="72" t="s">
        <v>115</v>
      </c>
      <c r="EN137" s="74">
        <v>2250</v>
      </c>
      <c r="EO137" s="73"/>
      <c r="EP137" s="72" t="s">
        <v>77</v>
      </c>
      <c r="EQ137" s="72"/>
      <c r="ER137" s="75"/>
      <c r="ES137" s="76"/>
      <c r="ET137" s="77"/>
      <c r="EU137" s="77"/>
      <c r="EV137" s="78"/>
      <c r="EW137" s="72"/>
      <c r="EX137" s="72"/>
      <c r="EY137" s="72" t="s">
        <v>100</v>
      </c>
      <c r="EZ137" s="72" t="s">
        <v>114</v>
      </c>
      <c r="FA137" s="72"/>
      <c r="FB137" s="78"/>
      <c r="FC137" s="78"/>
      <c r="FD137" s="146"/>
      <c r="FE137" s="78"/>
      <c r="FF137" s="78"/>
      <c r="FG137" s="78"/>
      <c r="FH137" s="78"/>
      <c r="FI137" s="78"/>
      <c r="FJ137" s="78"/>
      <c r="FK137" s="78"/>
      <c r="FL137" s="78"/>
      <c r="FM137" s="78"/>
      <c r="FN137" s="78"/>
      <c r="FO137" s="146"/>
      <c r="FP137" s="78"/>
      <c r="FQ137" s="78"/>
      <c r="FR137" s="78"/>
      <c r="FS137" s="78"/>
      <c r="FT137" s="78"/>
      <c r="FU137" s="78"/>
      <c r="FV137" s="78"/>
      <c r="FW137" s="78"/>
      <c r="FX137" s="78"/>
      <c r="FY137" s="78"/>
    </row>
    <row r="138" spans="1:181" s="71" customFormat="1" ht="16.350000000000001" customHeight="1" x14ac:dyDescent="0.25">
      <c r="A138" s="109"/>
      <c r="B138" s="70"/>
      <c r="C138" s="110"/>
      <c r="D138" s="110"/>
      <c r="E138" s="146"/>
      <c r="F138" s="109" t="str">
        <f>mehrsprachigkeitBegriffsrückgabe(gewählteSpracheZurückgeben(), "Product (foreign language)")</f>
        <v>Produkt (Fremdsprache)</v>
      </c>
      <c r="G138" s="111"/>
      <c r="H138" s="111" t="s">
        <v>257</v>
      </c>
      <c r="I138" s="111" t="s">
        <v>94</v>
      </c>
      <c r="J138" s="111" t="s">
        <v>302</v>
      </c>
      <c r="K138" s="111"/>
      <c r="L138" s="146"/>
      <c r="M138" s="149"/>
      <c r="N138" s="111"/>
      <c r="O138" s="111"/>
      <c r="P138" s="111"/>
      <c r="Q138" s="111"/>
      <c r="R138" s="111"/>
      <c r="S138" s="111"/>
      <c r="T138" s="111"/>
      <c r="U138" s="111"/>
      <c r="V138" s="111"/>
      <c r="W138" s="111"/>
      <c r="X138" s="111"/>
      <c r="Y138" s="111"/>
      <c r="Z138" s="111"/>
      <c r="AA138" s="111"/>
      <c r="AB138" s="111"/>
      <c r="AC138" s="111"/>
      <c r="AD138" s="111"/>
      <c r="AE138" s="111"/>
      <c r="AF138" s="111"/>
      <c r="AG138" s="111"/>
      <c r="AH138" s="111"/>
      <c r="AI138" s="111"/>
      <c r="AJ138" s="111"/>
      <c r="AK138" s="111"/>
      <c r="AL138" s="111"/>
      <c r="AM138" s="111"/>
      <c r="AN138" s="111"/>
      <c r="AO138" s="111"/>
      <c r="AP138" s="111"/>
      <c r="AQ138" s="111"/>
      <c r="AR138" s="111"/>
      <c r="AS138" s="111"/>
      <c r="AT138" s="111"/>
      <c r="AU138" s="111"/>
      <c r="AV138" s="111"/>
      <c r="AW138" s="111"/>
      <c r="AX138" s="111"/>
      <c r="AY138" s="111"/>
      <c r="AZ138" s="111"/>
      <c r="BA138" s="146"/>
      <c r="BB138" s="104" t="s">
        <v>99</v>
      </c>
      <c r="BC138" s="72" t="s">
        <v>95</v>
      </c>
      <c r="BD138" s="72"/>
      <c r="BE138" s="72"/>
      <c r="BF138" s="146"/>
      <c r="BG138" s="112" t="s">
        <v>113</v>
      </c>
      <c r="BH138" s="113"/>
      <c r="BI138" s="146"/>
      <c r="BJ138" s="105"/>
      <c r="BK138" s="113"/>
      <c r="BL138" s="113"/>
      <c r="BM138" s="105"/>
      <c r="BN138" s="113"/>
      <c r="BO138" s="113"/>
      <c r="BP138" s="146"/>
      <c r="BQ138" s="112" t="s">
        <v>113</v>
      </c>
      <c r="BR138" s="113"/>
      <c r="BS138" s="105"/>
      <c r="BT138" s="146"/>
      <c r="BU138" s="105"/>
      <c r="BV138" s="105"/>
      <c r="BW138" s="112"/>
      <c r="BX138" s="113"/>
      <c r="BY138" s="105"/>
      <c r="BZ138" s="113"/>
      <c r="CA138" s="113"/>
      <c r="CB138" s="105"/>
      <c r="CC138" s="113"/>
      <c r="CD138" s="113"/>
      <c r="CE138" s="112"/>
      <c r="CF138" s="113"/>
      <c r="CG138" s="105"/>
      <c r="CH138" s="146"/>
      <c r="CI138" s="105"/>
      <c r="CJ138" s="105"/>
      <c r="CK138" s="112"/>
      <c r="CL138" s="113"/>
      <c r="CM138" s="105"/>
      <c r="CN138" s="113"/>
      <c r="CO138" s="113"/>
      <c r="CP138" s="105"/>
      <c r="CQ138" s="113"/>
      <c r="CR138" s="113"/>
      <c r="CS138" s="112"/>
      <c r="CT138" s="113"/>
      <c r="CU138" s="105"/>
      <c r="CV138" s="146"/>
      <c r="CW138" s="105"/>
      <c r="CX138" s="105"/>
      <c r="CY138" s="112"/>
      <c r="CZ138" s="113"/>
      <c r="DA138" s="105"/>
      <c r="DB138" s="113"/>
      <c r="DC138" s="113"/>
      <c r="DD138" s="105"/>
      <c r="DE138" s="113"/>
      <c r="DF138" s="113"/>
      <c r="DG138" s="112"/>
      <c r="DH138" s="113"/>
      <c r="DI138" s="105"/>
      <c r="DJ138" s="146"/>
      <c r="DK138" s="105"/>
      <c r="DL138" s="105"/>
      <c r="DM138" s="112"/>
      <c r="DN138" s="113"/>
      <c r="DO138" s="105"/>
      <c r="DP138" s="113"/>
      <c r="DQ138" s="113"/>
      <c r="DR138" s="105"/>
      <c r="DS138" s="113"/>
      <c r="DT138" s="113"/>
      <c r="DU138" s="112"/>
      <c r="DV138" s="113"/>
      <c r="DW138" s="105"/>
      <c r="DX138" s="146"/>
      <c r="DY138" s="105"/>
      <c r="DZ138" s="105"/>
      <c r="EA138" s="112"/>
      <c r="EB138" s="113"/>
      <c r="EC138" s="105"/>
      <c r="ED138" s="113"/>
      <c r="EE138" s="113"/>
      <c r="EF138" s="105"/>
      <c r="EG138" s="113"/>
      <c r="EH138" s="113"/>
      <c r="EI138" s="112"/>
      <c r="EJ138" s="113"/>
      <c r="EK138" s="105"/>
      <c r="EL138" s="146"/>
      <c r="EM138" s="72"/>
      <c r="EN138" s="74"/>
      <c r="EO138" s="73"/>
      <c r="EP138" s="72" t="s">
        <v>96</v>
      </c>
      <c r="EQ138" s="72"/>
      <c r="ER138" s="75"/>
      <c r="ES138" s="76"/>
      <c r="ET138" s="77"/>
      <c r="EU138" s="77"/>
      <c r="EV138" s="78"/>
      <c r="EW138" s="72"/>
      <c r="EX138" s="72"/>
      <c r="EY138" s="72"/>
      <c r="EZ138" s="72"/>
      <c r="FA138" s="72"/>
      <c r="FB138" s="78"/>
      <c r="FC138" s="78"/>
      <c r="FD138" s="146"/>
      <c r="FE138" s="78"/>
      <c r="FF138" s="78"/>
      <c r="FG138" s="78"/>
      <c r="FO138" s="146"/>
      <c r="FP138" s="78"/>
      <c r="FQ138" s="78"/>
      <c r="FR138" s="78"/>
    </row>
    <row r="139" spans="1:181" s="71" customFormat="1" ht="16.350000000000001" customHeight="1" x14ac:dyDescent="0.25">
      <c r="A139" s="109"/>
      <c r="B139" s="70"/>
      <c r="C139" s="110"/>
      <c r="D139" s="110">
        <v>1</v>
      </c>
      <c r="E139" s="146"/>
      <c r="F139" s="109" t="str">
        <f>mehrsprachigkeitBegriffsrückgabe(gewählteSpracheZurückgeben(), "Product")</f>
        <v>Produkt</v>
      </c>
      <c r="G139" s="111" t="s">
        <v>258</v>
      </c>
      <c r="H139" s="111"/>
      <c r="I139" s="111" t="s">
        <v>86</v>
      </c>
      <c r="J139" s="111" t="s">
        <v>351</v>
      </c>
      <c r="K139" s="111"/>
      <c r="L139" s="146"/>
      <c r="M139" s="149" t="s">
        <v>392</v>
      </c>
      <c r="N139" s="111" t="s">
        <v>396</v>
      </c>
      <c r="O139" s="114"/>
      <c r="P139" s="114"/>
      <c r="Q139" s="111"/>
      <c r="R139" s="111"/>
      <c r="S139" s="111"/>
      <c r="T139" s="111"/>
      <c r="U139" s="111"/>
      <c r="V139" s="111"/>
      <c r="W139" s="111"/>
      <c r="X139" s="111"/>
      <c r="Y139" s="111"/>
      <c r="Z139" s="111"/>
      <c r="AA139" s="111"/>
      <c r="AB139" s="111"/>
      <c r="AC139" s="111"/>
      <c r="AD139" s="111"/>
      <c r="AE139" s="111"/>
      <c r="AF139" s="111"/>
      <c r="AG139" s="111"/>
      <c r="AH139" s="111"/>
      <c r="AI139" s="111"/>
      <c r="AJ139" s="111"/>
      <c r="AK139" s="111"/>
      <c r="AL139" s="111"/>
      <c r="AM139" s="111"/>
      <c r="AN139" s="111"/>
      <c r="AO139" s="111"/>
      <c r="AP139" s="111"/>
      <c r="AQ139" s="111"/>
      <c r="AR139" s="111"/>
      <c r="AS139" s="111"/>
      <c r="AT139" s="111"/>
      <c r="AU139" s="111"/>
      <c r="AV139" s="111"/>
      <c r="AW139" s="111"/>
      <c r="AX139" s="111"/>
      <c r="AY139" s="111"/>
      <c r="AZ139" s="111"/>
      <c r="BA139" s="146"/>
      <c r="BB139" s="104" t="s">
        <v>98</v>
      </c>
      <c r="BC139" s="72" t="s">
        <v>93</v>
      </c>
      <c r="BD139" s="72" t="s">
        <v>404</v>
      </c>
      <c r="BE139" s="72" t="s">
        <v>413</v>
      </c>
      <c r="BF139" s="146"/>
      <c r="BG139" s="112">
        <v>69.900000000000006</v>
      </c>
      <c r="BH139" s="113"/>
      <c r="BI139" s="146"/>
      <c r="BJ139" s="105">
        <v>1</v>
      </c>
      <c r="BK139" s="113" t="str">
        <f>mehrsprachigkeitBegriffsrückgabe(gewählteSpracheZurückgeben(), "Fixed scale price")</f>
        <v>Feste Preisangabe</v>
      </c>
      <c r="BL139" s="113" t="str">
        <f>mehrsprachigkeitBegriffsrückgabe(gewählteSpracheZurückgeben(), "Separated by products, variants and configurations")</f>
        <v>Produkte, Varianten und Konfigurationen getrennt</v>
      </c>
      <c r="BM139" s="105">
        <v>1</v>
      </c>
      <c r="BN139" s="113"/>
      <c r="BO139" s="152" t="s">
        <v>407</v>
      </c>
      <c r="BP139" s="146"/>
      <c r="BQ139" s="112">
        <v>79.900000000000006</v>
      </c>
      <c r="BR139" s="113"/>
      <c r="BS139" s="105">
        <v>1</v>
      </c>
      <c r="BT139" s="146"/>
      <c r="BU139" s="105"/>
      <c r="BV139" s="105"/>
      <c r="BW139" s="112"/>
      <c r="BX139" s="113"/>
      <c r="BY139" s="105"/>
      <c r="BZ139" s="113"/>
      <c r="CA139" s="113"/>
      <c r="CB139" s="105"/>
      <c r="CC139" s="113"/>
      <c r="CD139" s="152"/>
      <c r="CE139" s="112"/>
      <c r="CF139" s="113"/>
      <c r="CG139" s="105"/>
      <c r="CH139" s="146"/>
      <c r="CI139" s="105"/>
      <c r="CJ139" s="105"/>
      <c r="CK139" s="112"/>
      <c r="CL139" s="113"/>
      <c r="CM139" s="105"/>
      <c r="CN139" s="152"/>
      <c r="CO139" s="152"/>
      <c r="CP139" s="105"/>
      <c r="CQ139" s="113"/>
      <c r="CR139" s="152"/>
      <c r="CS139" s="112"/>
      <c r="CT139" s="113"/>
      <c r="CU139" s="105"/>
      <c r="CV139" s="146"/>
      <c r="CW139" s="105"/>
      <c r="CX139" s="105"/>
      <c r="CY139" s="112"/>
      <c r="CZ139" s="113"/>
      <c r="DA139" s="105"/>
      <c r="DB139" s="113"/>
      <c r="DC139" s="113"/>
      <c r="DD139" s="105"/>
      <c r="DE139" s="113"/>
      <c r="DF139" s="113"/>
      <c r="DG139" s="112"/>
      <c r="DH139" s="113"/>
      <c r="DI139" s="105"/>
      <c r="DJ139" s="146"/>
      <c r="DK139" s="105"/>
      <c r="DL139" s="105"/>
      <c r="DM139" s="112"/>
      <c r="DN139" s="113"/>
      <c r="DO139" s="105"/>
      <c r="DP139" s="113"/>
      <c r="DQ139" s="113"/>
      <c r="DR139" s="105"/>
      <c r="DS139" s="113"/>
      <c r="DT139" s="113"/>
      <c r="DU139" s="112"/>
      <c r="DV139" s="113"/>
      <c r="DW139" s="105"/>
      <c r="DX139" s="146"/>
      <c r="DY139" s="105"/>
      <c r="DZ139" s="105"/>
      <c r="EA139" s="112"/>
      <c r="EB139" s="113"/>
      <c r="EC139" s="105"/>
      <c r="ED139" s="113"/>
      <c r="EE139" s="113"/>
      <c r="EF139" s="105"/>
      <c r="EG139" s="113"/>
      <c r="EH139" s="113"/>
      <c r="EI139" s="112"/>
      <c r="EJ139" s="113"/>
      <c r="EK139" s="105"/>
      <c r="EL139" s="146"/>
      <c r="EM139" s="72" t="s">
        <v>115</v>
      </c>
      <c r="EN139" s="74">
        <v>2250</v>
      </c>
      <c r="EO139" s="73"/>
      <c r="EP139" s="72" t="s">
        <v>77</v>
      </c>
      <c r="EQ139" s="72"/>
      <c r="ER139" s="75"/>
      <c r="ES139" s="76"/>
      <c r="ET139" s="77"/>
      <c r="EU139" s="77">
        <v>1</v>
      </c>
      <c r="EV139" s="78"/>
      <c r="EW139" s="72"/>
      <c r="EX139" s="72"/>
      <c r="EY139" s="72" t="s">
        <v>100</v>
      </c>
      <c r="EZ139" s="72" t="s">
        <v>114</v>
      </c>
      <c r="FA139" s="72"/>
      <c r="FB139" s="78"/>
      <c r="FC139" s="78"/>
      <c r="FD139" s="146"/>
      <c r="FE139" s="78"/>
      <c r="FF139" s="78"/>
      <c r="FG139" s="78"/>
      <c r="FH139" s="78"/>
      <c r="FI139" s="78"/>
      <c r="FJ139" s="78"/>
      <c r="FK139" s="78"/>
      <c r="FL139" s="78"/>
      <c r="FM139" s="78"/>
      <c r="FN139" s="78"/>
      <c r="FO139" s="146"/>
      <c r="FP139" s="78"/>
      <c r="FQ139" s="78"/>
      <c r="FR139" s="78"/>
      <c r="FS139" s="78"/>
      <c r="FT139" s="78"/>
      <c r="FU139" s="78"/>
      <c r="FV139" s="78"/>
      <c r="FW139" s="78"/>
      <c r="FX139" s="78"/>
      <c r="FY139" s="78"/>
    </row>
    <row r="140" spans="1:181" s="71" customFormat="1" ht="16.350000000000001" customHeight="1" x14ac:dyDescent="0.25">
      <c r="A140" s="109"/>
      <c r="B140" s="70"/>
      <c r="C140" s="110"/>
      <c r="D140" s="110"/>
      <c r="E140" s="146"/>
      <c r="F140" s="109" t="str">
        <f>mehrsprachigkeitBegriffsrückgabe(gewählteSpracheZurückgeben(), "Product (foreign language)")</f>
        <v>Produkt (Fremdsprache)</v>
      </c>
      <c r="G140" s="111"/>
      <c r="H140" s="111" t="s">
        <v>258</v>
      </c>
      <c r="I140" s="111" t="s">
        <v>94</v>
      </c>
      <c r="J140" s="111" t="s">
        <v>303</v>
      </c>
      <c r="K140" s="111"/>
      <c r="L140" s="146"/>
      <c r="M140" s="149"/>
      <c r="N140" s="111"/>
      <c r="O140" s="111"/>
      <c r="P140" s="111"/>
      <c r="Q140" s="111"/>
      <c r="R140" s="111"/>
      <c r="S140" s="111"/>
      <c r="T140" s="111"/>
      <c r="U140" s="111"/>
      <c r="V140" s="111"/>
      <c r="W140" s="111"/>
      <c r="X140" s="111"/>
      <c r="Y140" s="111"/>
      <c r="Z140" s="111"/>
      <c r="AA140" s="111"/>
      <c r="AB140" s="111"/>
      <c r="AC140" s="111"/>
      <c r="AD140" s="111"/>
      <c r="AE140" s="111"/>
      <c r="AF140" s="111"/>
      <c r="AG140" s="111"/>
      <c r="AH140" s="111"/>
      <c r="AI140" s="111"/>
      <c r="AJ140" s="111"/>
      <c r="AK140" s="111"/>
      <c r="AL140" s="111"/>
      <c r="AM140" s="111"/>
      <c r="AN140" s="111"/>
      <c r="AO140" s="111"/>
      <c r="AP140" s="111"/>
      <c r="AQ140" s="111"/>
      <c r="AR140" s="111"/>
      <c r="AS140" s="111"/>
      <c r="AT140" s="111"/>
      <c r="AU140" s="111"/>
      <c r="AV140" s="111"/>
      <c r="AW140" s="111"/>
      <c r="AX140" s="111"/>
      <c r="AY140" s="111"/>
      <c r="AZ140" s="111"/>
      <c r="BA140" s="146"/>
      <c r="BB140" s="104" t="s">
        <v>99</v>
      </c>
      <c r="BC140" s="72" t="s">
        <v>95</v>
      </c>
      <c r="BD140" s="72"/>
      <c r="BE140" s="72"/>
      <c r="BF140" s="146"/>
      <c r="BG140" s="112" t="s">
        <v>113</v>
      </c>
      <c r="BH140" s="113"/>
      <c r="BI140" s="146"/>
      <c r="BJ140" s="105"/>
      <c r="BK140" s="113"/>
      <c r="BL140" s="113"/>
      <c r="BM140" s="105"/>
      <c r="BN140" s="113"/>
      <c r="BO140" s="113"/>
      <c r="BP140" s="146"/>
      <c r="BQ140" s="112" t="s">
        <v>113</v>
      </c>
      <c r="BR140" s="113"/>
      <c r="BS140" s="105"/>
      <c r="BT140" s="146"/>
      <c r="BU140" s="105"/>
      <c r="BV140" s="105"/>
      <c r="BW140" s="112"/>
      <c r="BX140" s="113"/>
      <c r="BY140" s="105"/>
      <c r="BZ140" s="113"/>
      <c r="CA140" s="113"/>
      <c r="CB140" s="105"/>
      <c r="CC140" s="113"/>
      <c r="CD140" s="113"/>
      <c r="CE140" s="112"/>
      <c r="CF140" s="113"/>
      <c r="CG140" s="105"/>
      <c r="CH140" s="146"/>
      <c r="CI140" s="105"/>
      <c r="CJ140" s="105"/>
      <c r="CK140" s="112"/>
      <c r="CL140" s="113"/>
      <c r="CM140" s="105"/>
      <c r="CN140" s="113"/>
      <c r="CO140" s="113"/>
      <c r="CP140" s="105"/>
      <c r="CQ140" s="113"/>
      <c r="CR140" s="113"/>
      <c r="CS140" s="112"/>
      <c r="CT140" s="113"/>
      <c r="CU140" s="105"/>
      <c r="CV140" s="146"/>
      <c r="CW140" s="105"/>
      <c r="CX140" s="105"/>
      <c r="CY140" s="112"/>
      <c r="CZ140" s="113"/>
      <c r="DA140" s="105"/>
      <c r="DB140" s="113"/>
      <c r="DC140" s="113"/>
      <c r="DD140" s="105"/>
      <c r="DE140" s="113"/>
      <c r="DF140" s="113"/>
      <c r="DG140" s="112"/>
      <c r="DH140" s="113"/>
      <c r="DI140" s="105"/>
      <c r="DJ140" s="146"/>
      <c r="DK140" s="105"/>
      <c r="DL140" s="105"/>
      <c r="DM140" s="112"/>
      <c r="DN140" s="113"/>
      <c r="DO140" s="105"/>
      <c r="DP140" s="113"/>
      <c r="DQ140" s="113"/>
      <c r="DR140" s="105"/>
      <c r="DS140" s="113"/>
      <c r="DT140" s="113"/>
      <c r="DU140" s="112"/>
      <c r="DV140" s="113"/>
      <c r="DW140" s="105"/>
      <c r="DX140" s="146"/>
      <c r="DY140" s="105"/>
      <c r="DZ140" s="105"/>
      <c r="EA140" s="112"/>
      <c r="EB140" s="113"/>
      <c r="EC140" s="105"/>
      <c r="ED140" s="113"/>
      <c r="EE140" s="113"/>
      <c r="EF140" s="105"/>
      <c r="EG140" s="113"/>
      <c r="EH140" s="113"/>
      <c r="EI140" s="112"/>
      <c r="EJ140" s="113"/>
      <c r="EK140" s="105"/>
      <c r="EL140" s="146"/>
      <c r="EM140" s="72"/>
      <c r="EN140" s="74"/>
      <c r="EO140" s="73"/>
      <c r="EP140" s="72" t="s">
        <v>96</v>
      </c>
      <c r="EQ140" s="72"/>
      <c r="ER140" s="75"/>
      <c r="ES140" s="76"/>
      <c r="ET140" s="77"/>
      <c r="EU140" s="77"/>
      <c r="EV140" s="78"/>
      <c r="EW140" s="72"/>
      <c r="EX140" s="72"/>
      <c r="EY140" s="72"/>
      <c r="EZ140" s="72"/>
      <c r="FA140" s="72"/>
      <c r="FB140" s="78"/>
      <c r="FC140" s="78"/>
      <c r="FD140" s="146"/>
      <c r="FE140" s="78"/>
      <c r="FF140" s="78"/>
      <c r="FG140" s="78"/>
      <c r="FO140" s="146"/>
      <c r="FP140" s="78"/>
      <c r="FQ140" s="78"/>
      <c r="FR140" s="78"/>
    </row>
    <row r="141" spans="1:181" s="71" customFormat="1" ht="16.350000000000001" customHeight="1" x14ac:dyDescent="0.25">
      <c r="A141" s="109"/>
      <c r="B141" s="70"/>
      <c r="C141" s="110"/>
      <c r="D141" s="110">
        <v>1</v>
      </c>
      <c r="E141" s="146"/>
      <c r="F141" s="109" t="str">
        <f>mehrsprachigkeitBegriffsrückgabe(gewählteSpracheZurückgeben(), "Product")</f>
        <v>Produkt</v>
      </c>
      <c r="G141" s="111" t="s">
        <v>259</v>
      </c>
      <c r="H141" s="111"/>
      <c r="I141" s="111" t="s">
        <v>86</v>
      </c>
      <c r="J141" s="111" t="s">
        <v>352</v>
      </c>
      <c r="K141" s="111"/>
      <c r="L141" s="146"/>
      <c r="M141" s="149" t="s">
        <v>392</v>
      </c>
      <c r="N141" s="111" t="s">
        <v>401</v>
      </c>
      <c r="O141" s="114"/>
      <c r="P141" s="114"/>
      <c r="Q141" s="111"/>
      <c r="R141" s="111"/>
      <c r="S141" s="111"/>
      <c r="T141" s="111"/>
      <c r="U141" s="111"/>
      <c r="V141" s="111"/>
      <c r="W141" s="111"/>
      <c r="X141" s="111"/>
      <c r="Y141" s="111"/>
      <c r="Z141" s="111"/>
      <c r="AA141" s="111"/>
      <c r="AB141" s="111"/>
      <c r="AC141" s="111"/>
      <c r="AD141" s="111"/>
      <c r="AE141" s="111"/>
      <c r="AF141" s="111"/>
      <c r="AG141" s="111"/>
      <c r="AH141" s="111"/>
      <c r="AI141" s="111"/>
      <c r="AJ141" s="111"/>
      <c r="AK141" s="111"/>
      <c r="AL141" s="111"/>
      <c r="AM141" s="111"/>
      <c r="AN141" s="111"/>
      <c r="AO141" s="111"/>
      <c r="AP141" s="111"/>
      <c r="AQ141" s="111"/>
      <c r="AR141" s="111"/>
      <c r="AS141" s="111"/>
      <c r="AT141" s="111"/>
      <c r="AU141" s="111"/>
      <c r="AV141" s="111"/>
      <c r="AW141" s="111"/>
      <c r="AX141" s="111"/>
      <c r="AY141" s="111"/>
      <c r="AZ141" s="111"/>
      <c r="BA141" s="146"/>
      <c r="BB141" s="104" t="s">
        <v>98</v>
      </c>
      <c r="BC141" s="72" t="s">
        <v>93</v>
      </c>
      <c r="BD141" s="72" t="s">
        <v>404</v>
      </c>
      <c r="BE141" s="72" t="s">
        <v>415</v>
      </c>
      <c r="BF141" s="146"/>
      <c r="BG141" s="112">
        <v>79.900000000000006</v>
      </c>
      <c r="BH141" s="113"/>
      <c r="BI141" s="146"/>
      <c r="BJ141" s="105">
        <v>1</v>
      </c>
      <c r="BK141" s="113" t="str">
        <f>mehrsprachigkeitBegriffsrückgabe(gewählteSpracheZurückgeben(), "Fixed scale price")</f>
        <v>Feste Preisangabe</v>
      </c>
      <c r="BL141" s="113" t="str">
        <f>mehrsprachigkeitBegriffsrückgabe(gewählteSpracheZurückgeben(), "Separated by products, variants and configurations")</f>
        <v>Produkte, Varianten und Konfigurationen getrennt</v>
      </c>
      <c r="BM141" s="105">
        <v>1</v>
      </c>
      <c r="BN141" s="113"/>
      <c r="BO141" s="152" t="s">
        <v>406</v>
      </c>
      <c r="BP141" s="146"/>
      <c r="BQ141" s="112" t="s">
        <v>113</v>
      </c>
      <c r="BR141" s="113"/>
      <c r="BS141" s="105"/>
      <c r="BT141" s="146"/>
      <c r="BU141" s="105"/>
      <c r="BV141" s="105"/>
      <c r="BW141" s="112"/>
      <c r="BX141" s="113"/>
      <c r="BY141" s="105"/>
      <c r="BZ141" s="113"/>
      <c r="CA141" s="113"/>
      <c r="CB141" s="105"/>
      <c r="CC141" s="113"/>
      <c r="CD141" s="152"/>
      <c r="CE141" s="112"/>
      <c r="CF141" s="113"/>
      <c r="CG141" s="105"/>
      <c r="CH141" s="146"/>
      <c r="CI141" s="105"/>
      <c r="CJ141" s="105"/>
      <c r="CK141" s="112"/>
      <c r="CL141" s="113"/>
      <c r="CM141" s="105"/>
      <c r="CN141" s="152"/>
      <c r="CO141" s="152"/>
      <c r="CP141" s="105"/>
      <c r="CQ141" s="113"/>
      <c r="CR141" s="152"/>
      <c r="CS141" s="112"/>
      <c r="CT141" s="113"/>
      <c r="CU141" s="105"/>
      <c r="CV141" s="146"/>
      <c r="CW141" s="105"/>
      <c r="CX141" s="105"/>
      <c r="CY141" s="112"/>
      <c r="CZ141" s="113"/>
      <c r="DA141" s="105"/>
      <c r="DB141" s="113"/>
      <c r="DC141" s="113"/>
      <c r="DD141" s="105"/>
      <c r="DE141" s="113"/>
      <c r="DF141" s="113"/>
      <c r="DG141" s="112"/>
      <c r="DH141" s="113"/>
      <c r="DI141" s="105"/>
      <c r="DJ141" s="146"/>
      <c r="DK141" s="105"/>
      <c r="DL141" s="105"/>
      <c r="DM141" s="112"/>
      <c r="DN141" s="113"/>
      <c r="DO141" s="105"/>
      <c r="DP141" s="113"/>
      <c r="DQ141" s="113"/>
      <c r="DR141" s="105"/>
      <c r="DS141" s="113"/>
      <c r="DT141" s="113"/>
      <c r="DU141" s="112"/>
      <c r="DV141" s="113"/>
      <c r="DW141" s="105"/>
      <c r="DX141" s="146"/>
      <c r="DY141" s="105"/>
      <c r="DZ141" s="105"/>
      <c r="EA141" s="112"/>
      <c r="EB141" s="113"/>
      <c r="EC141" s="105"/>
      <c r="ED141" s="113"/>
      <c r="EE141" s="113"/>
      <c r="EF141" s="105"/>
      <c r="EG141" s="113"/>
      <c r="EH141" s="113"/>
      <c r="EI141" s="112"/>
      <c r="EJ141" s="113"/>
      <c r="EK141" s="105"/>
      <c r="EL141" s="146"/>
      <c r="EM141" s="72" t="s">
        <v>115</v>
      </c>
      <c r="EN141" s="74">
        <v>2250</v>
      </c>
      <c r="EO141" s="73"/>
      <c r="EP141" s="72" t="s">
        <v>77</v>
      </c>
      <c r="EQ141" s="72"/>
      <c r="ER141" s="75"/>
      <c r="ES141" s="76"/>
      <c r="ET141" s="77">
        <v>1</v>
      </c>
      <c r="EU141" s="77"/>
      <c r="EV141" s="78"/>
      <c r="EW141" s="72"/>
      <c r="EX141" s="72"/>
      <c r="EY141" s="72" t="s">
        <v>100</v>
      </c>
      <c r="EZ141" s="72" t="s">
        <v>114</v>
      </c>
      <c r="FA141" s="72"/>
      <c r="FB141" s="78"/>
      <c r="FC141" s="78"/>
      <c r="FD141" s="146"/>
      <c r="FE141" s="78"/>
      <c r="FF141" s="78"/>
      <c r="FG141" s="78"/>
      <c r="FH141" s="78"/>
      <c r="FI141" s="78"/>
      <c r="FJ141" s="78"/>
      <c r="FK141" s="78"/>
      <c r="FL141" s="78"/>
      <c r="FM141" s="78"/>
      <c r="FN141" s="78"/>
      <c r="FO141" s="146"/>
      <c r="FP141" s="78"/>
      <c r="FQ141" s="78"/>
      <c r="FR141" s="78"/>
      <c r="FS141" s="78"/>
      <c r="FT141" s="78"/>
      <c r="FU141" s="78"/>
      <c r="FV141" s="78"/>
      <c r="FW141" s="78"/>
      <c r="FX141" s="78"/>
      <c r="FY141" s="78"/>
    </row>
    <row r="142" spans="1:181" s="71" customFormat="1" ht="16.350000000000001" customHeight="1" x14ac:dyDescent="0.25">
      <c r="A142" s="109"/>
      <c r="B142" s="70"/>
      <c r="C142" s="110"/>
      <c r="D142" s="110"/>
      <c r="E142" s="146"/>
      <c r="F142" s="109" t="str">
        <f>mehrsprachigkeitBegriffsrückgabe(gewählteSpracheZurückgeben(), "Product (foreign language)")</f>
        <v>Produkt (Fremdsprache)</v>
      </c>
      <c r="G142" s="111"/>
      <c r="H142" s="111" t="s">
        <v>259</v>
      </c>
      <c r="I142" s="111" t="s">
        <v>94</v>
      </c>
      <c r="J142" s="111" t="s">
        <v>304</v>
      </c>
      <c r="K142" s="111"/>
      <c r="L142" s="146"/>
      <c r="M142" s="149"/>
      <c r="N142" s="111"/>
      <c r="O142" s="111"/>
      <c r="P142" s="111"/>
      <c r="Q142" s="111"/>
      <c r="R142" s="111"/>
      <c r="S142" s="111"/>
      <c r="T142" s="111"/>
      <c r="U142" s="111"/>
      <c r="V142" s="111"/>
      <c r="W142" s="111"/>
      <c r="X142" s="111"/>
      <c r="Y142" s="111"/>
      <c r="Z142" s="111"/>
      <c r="AA142" s="111"/>
      <c r="AB142" s="111"/>
      <c r="AC142" s="111"/>
      <c r="AD142" s="111"/>
      <c r="AE142" s="111"/>
      <c r="AF142" s="111"/>
      <c r="AG142" s="111"/>
      <c r="AH142" s="111"/>
      <c r="AI142" s="111"/>
      <c r="AJ142" s="111"/>
      <c r="AK142" s="111"/>
      <c r="AL142" s="111"/>
      <c r="AM142" s="111"/>
      <c r="AN142" s="111"/>
      <c r="AO142" s="111"/>
      <c r="AP142" s="111"/>
      <c r="AQ142" s="111"/>
      <c r="AR142" s="111"/>
      <c r="AS142" s="111"/>
      <c r="AT142" s="111"/>
      <c r="AU142" s="111"/>
      <c r="AV142" s="111"/>
      <c r="AW142" s="111"/>
      <c r="AX142" s="111"/>
      <c r="AY142" s="111"/>
      <c r="AZ142" s="111"/>
      <c r="BA142" s="146"/>
      <c r="BB142" s="104" t="s">
        <v>99</v>
      </c>
      <c r="BC142" s="72" t="s">
        <v>95</v>
      </c>
      <c r="BD142" s="72"/>
      <c r="BE142" s="72"/>
      <c r="BF142" s="146"/>
      <c r="BG142" s="112" t="s">
        <v>113</v>
      </c>
      <c r="BH142" s="113"/>
      <c r="BI142" s="146"/>
      <c r="BJ142" s="105"/>
      <c r="BK142" s="113"/>
      <c r="BL142" s="113"/>
      <c r="BM142" s="105"/>
      <c r="BN142" s="113"/>
      <c r="BO142" s="113"/>
      <c r="BP142" s="146"/>
      <c r="BQ142" s="112" t="s">
        <v>113</v>
      </c>
      <c r="BR142" s="113"/>
      <c r="BS142" s="105"/>
      <c r="BT142" s="146"/>
      <c r="BU142" s="105"/>
      <c r="BV142" s="105"/>
      <c r="BW142" s="112"/>
      <c r="BX142" s="113"/>
      <c r="BY142" s="105"/>
      <c r="BZ142" s="113"/>
      <c r="CA142" s="113"/>
      <c r="CB142" s="105"/>
      <c r="CC142" s="113"/>
      <c r="CD142" s="113"/>
      <c r="CE142" s="112"/>
      <c r="CF142" s="113"/>
      <c r="CG142" s="105"/>
      <c r="CH142" s="146"/>
      <c r="CI142" s="105"/>
      <c r="CJ142" s="105"/>
      <c r="CK142" s="112"/>
      <c r="CL142" s="113"/>
      <c r="CM142" s="105"/>
      <c r="CN142" s="113"/>
      <c r="CO142" s="113"/>
      <c r="CP142" s="105"/>
      <c r="CQ142" s="113"/>
      <c r="CR142" s="113"/>
      <c r="CS142" s="112"/>
      <c r="CT142" s="113"/>
      <c r="CU142" s="105"/>
      <c r="CV142" s="146"/>
      <c r="CW142" s="105"/>
      <c r="CX142" s="105"/>
      <c r="CY142" s="112"/>
      <c r="CZ142" s="113"/>
      <c r="DA142" s="105"/>
      <c r="DB142" s="113"/>
      <c r="DC142" s="113"/>
      <c r="DD142" s="105"/>
      <c r="DE142" s="113"/>
      <c r="DF142" s="113"/>
      <c r="DG142" s="112"/>
      <c r="DH142" s="113"/>
      <c r="DI142" s="105"/>
      <c r="DJ142" s="146"/>
      <c r="DK142" s="105"/>
      <c r="DL142" s="105"/>
      <c r="DM142" s="112"/>
      <c r="DN142" s="113"/>
      <c r="DO142" s="105"/>
      <c r="DP142" s="113"/>
      <c r="DQ142" s="113"/>
      <c r="DR142" s="105"/>
      <c r="DS142" s="113"/>
      <c r="DT142" s="113"/>
      <c r="DU142" s="112"/>
      <c r="DV142" s="113"/>
      <c r="DW142" s="105"/>
      <c r="DX142" s="146"/>
      <c r="DY142" s="105"/>
      <c r="DZ142" s="105"/>
      <c r="EA142" s="112"/>
      <c r="EB142" s="113"/>
      <c r="EC142" s="105"/>
      <c r="ED142" s="113"/>
      <c r="EE142" s="113"/>
      <c r="EF142" s="105"/>
      <c r="EG142" s="113"/>
      <c r="EH142" s="113"/>
      <c r="EI142" s="112"/>
      <c r="EJ142" s="113"/>
      <c r="EK142" s="105"/>
      <c r="EL142" s="146"/>
      <c r="EM142" s="72"/>
      <c r="EN142" s="74"/>
      <c r="EO142" s="73"/>
      <c r="EP142" s="72" t="s">
        <v>96</v>
      </c>
      <c r="EQ142" s="72"/>
      <c r="ER142" s="75"/>
      <c r="ES142" s="76"/>
      <c r="ET142" s="77"/>
      <c r="EU142" s="77"/>
      <c r="EV142" s="78"/>
      <c r="EW142" s="72"/>
      <c r="EX142" s="72"/>
      <c r="EY142" s="72"/>
      <c r="EZ142" s="72"/>
      <c r="FA142" s="72"/>
      <c r="FB142" s="78"/>
      <c r="FC142" s="78"/>
      <c r="FD142" s="146"/>
      <c r="FE142" s="78"/>
      <c r="FF142" s="78"/>
      <c r="FG142" s="78"/>
      <c r="FO142" s="146"/>
      <c r="FP142" s="78"/>
      <c r="FQ142" s="78"/>
      <c r="FR142" s="78"/>
    </row>
    <row r="143" spans="1:181" s="71" customFormat="1" ht="16.350000000000001" customHeight="1" x14ac:dyDescent="0.25">
      <c r="A143" s="109"/>
      <c r="B143" s="70"/>
      <c r="C143" s="110"/>
      <c r="D143" s="110">
        <v>1</v>
      </c>
      <c r="E143" s="146"/>
      <c r="F143" s="109" t="str">
        <f>mehrsprachigkeitBegriffsrückgabe(gewählteSpracheZurückgeben(), "Product")</f>
        <v>Produkt</v>
      </c>
      <c r="G143" s="111" t="s">
        <v>260</v>
      </c>
      <c r="H143" s="111"/>
      <c r="I143" s="111" t="s">
        <v>86</v>
      </c>
      <c r="J143" s="111" t="s">
        <v>353</v>
      </c>
      <c r="K143" s="111"/>
      <c r="L143" s="146"/>
      <c r="M143" s="149" t="s">
        <v>392</v>
      </c>
      <c r="N143" s="111" t="s">
        <v>395</v>
      </c>
      <c r="O143" s="114"/>
      <c r="P143" s="114"/>
      <c r="Q143" s="111"/>
      <c r="R143" s="111"/>
      <c r="S143" s="111"/>
      <c r="T143" s="111"/>
      <c r="U143" s="111"/>
      <c r="V143" s="111"/>
      <c r="W143" s="111"/>
      <c r="X143" s="111"/>
      <c r="Y143" s="111"/>
      <c r="Z143" s="111"/>
      <c r="AA143" s="111"/>
      <c r="AB143" s="111"/>
      <c r="AC143" s="111"/>
      <c r="AD143" s="111"/>
      <c r="AE143" s="111"/>
      <c r="AF143" s="111"/>
      <c r="AG143" s="111"/>
      <c r="AH143" s="111"/>
      <c r="AI143" s="111"/>
      <c r="AJ143" s="111"/>
      <c r="AK143" s="111"/>
      <c r="AL143" s="111"/>
      <c r="AM143" s="111"/>
      <c r="AN143" s="111"/>
      <c r="AO143" s="111"/>
      <c r="AP143" s="111"/>
      <c r="AQ143" s="111"/>
      <c r="AR143" s="111"/>
      <c r="AS143" s="111"/>
      <c r="AT143" s="111"/>
      <c r="AU143" s="111"/>
      <c r="AV143" s="111"/>
      <c r="AW143" s="111"/>
      <c r="AX143" s="111"/>
      <c r="AY143" s="111"/>
      <c r="AZ143" s="111"/>
      <c r="BA143" s="146"/>
      <c r="BB143" s="104" t="s">
        <v>98</v>
      </c>
      <c r="BC143" s="72" t="s">
        <v>93</v>
      </c>
      <c r="BD143" s="72" t="s">
        <v>404</v>
      </c>
      <c r="BE143" s="72" t="s">
        <v>412</v>
      </c>
      <c r="BF143" s="146"/>
      <c r="BG143" s="112">
        <v>49.9</v>
      </c>
      <c r="BH143" s="113"/>
      <c r="BI143" s="146"/>
      <c r="BJ143" s="105">
        <v>1</v>
      </c>
      <c r="BK143" s="113" t="str">
        <f>mehrsprachigkeitBegriffsrückgabe(gewählteSpracheZurückgeben(), "Fixed scale price")</f>
        <v>Feste Preisangabe</v>
      </c>
      <c r="BL143" s="113" t="str">
        <f>mehrsprachigkeitBegriffsrückgabe(gewählteSpracheZurückgeben(), "Separated by products, variants and configurations")</f>
        <v>Produkte, Varianten und Konfigurationen getrennt</v>
      </c>
      <c r="BM143" s="105">
        <v>1</v>
      </c>
      <c r="BN143" s="113"/>
      <c r="BO143" s="152" t="s">
        <v>405</v>
      </c>
      <c r="BP143" s="146"/>
      <c r="BQ143" s="112" t="s">
        <v>113</v>
      </c>
      <c r="BR143" s="113"/>
      <c r="BS143" s="105"/>
      <c r="BT143" s="146"/>
      <c r="BU143" s="105"/>
      <c r="BV143" s="105"/>
      <c r="BW143" s="112"/>
      <c r="BX143" s="113"/>
      <c r="BY143" s="105"/>
      <c r="BZ143" s="113"/>
      <c r="CA143" s="113"/>
      <c r="CB143" s="105"/>
      <c r="CC143" s="113"/>
      <c r="CD143" s="152"/>
      <c r="CE143" s="112"/>
      <c r="CF143" s="113"/>
      <c r="CG143" s="105"/>
      <c r="CH143" s="146"/>
      <c r="CI143" s="105"/>
      <c r="CJ143" s="105"/>
      <c r="CK143" s="112"/>
      <c r="CL143" s="113"/>
      <c r="CM143" s="105"/>
      <c r="CN143" s="152"/>
      <c r="CO143" s="152"/>
      <c r="CP143" s="105"/>
      <c r="CQ143" s="113"/>
      <c r="CR143" s="152"/>
      <c r="CS143" s="112"/>
      <c r="CT143" s="113"/>
      <c r="CU143" s="105"/>
      <c r="CV143" s="146"/>
      <c r="CW143" s="105"/>
      <c r="CX143" s="105"/>
      <c r="CY143" s="112"/>
      <c r="CZ143" s="113"/>
      <c r="DA143" s="105"/>
      <c r="DB143" s="113"/>
      <c r="DC143" s="113"/>
      <c r="DD143" s="105"/>
      <c r="DE143" s="113"/>
      <c r="DF143" s="113"/>
      <c r="DG143" s="112"/>
      <c r="DH143" s="113"/>
      <c r="DI143" s="105"/>
      <c r="DJ143" s="146"/>
      <c r="DK143" s="105"/>
      <c r="DL143" s="105"/>
      <c r="DM143" s="112"/>
      <c r="DN143" s="113"/>
      <c r="DO143" s="105"/>
      <c r="DP143" s="113"/>
      <c r="DQ143" s="113"/>
      <c r="DR143" s="105"/>
      <c r="DS143" s="113"/>
      <c r="DT143" s="113"/>
      <c r="DU143" s="112"/>
      <c r="DV143" s="113"/>
      <c r="DW143" s="105"/>
      <c r="DX143" s="146"/>
      <c r="DY143" s="105"/>
      <c r="DZ143" s="105"/>
      <c r="EA143" s="112"/>
      <c r="EB143" s="113"/>
      <c r="EC143" s="105"/>
      <c r="ED143" s="113"/>
      <c r="EE143" s="113"/>
      <c r="EF143" s="105"/>
      <c r="EG143" s="113"/>
      <c r="EH143" s="113"/>
      <c r="EI143" s="112"/>
      <c r="EJ143" s="113"/>
      <c r="EK143" s="105"/>
      <c r="EL143" s="146"/>
      <c r="EM143" s="72" t="s">
        <v>115</v>
      </c>
      <c r="EN143" s="74">
        <v>2250</v>
      </c>
      <c r="EO143" s="73"/>
      <c r="EP143" s="72" t="s">
        <v>77</v>
      </c>
      <c r="EQ143" s="72"/>
      <c r="ER143" s="75"/>
      <c r="ES143" s="76"/>
      <c r="ET143" s="77"/>
      <c r="EU143" s="77"/>
      <c r="EV143" s="78"/>
      <c r="EW143" s="72"/>
      <c r="EX143" s="72"/>
      <c r="EY143" s="72" t="s">
        <v>100</v>
      </c>
      <c r="EZ143" s="72" t="s">
        <v>114</v>
      </c>
      <c r="FA143" s="72"/>
      <c r="FB143" s="78"/>
      <c r="FC143" s="78"/>
      <c r="FD143" s="146"/>
      <c r="FE143" s="78"/>
      <c r="FF143" s="78"/>
      <c r="FG143" s="78"/>
      <c r="FH143" s="78"/>
      <c r="FI143" s="78"/>
      <c r="FJ143" s="78"/>
      <c r="FK143" s="78"/>
      <c r="FL143" s="78"/>
      <c r="FM143" s="78"/>
      <c r="FN143" s="78"/>
      <c r="FO143" s="146"/>
      <c r="FP143" s="78"/>
      <c r="FQ143" s="78"/>
      <c r="FR143" s="78"/>
      <c r="FS143" s="78"/>
      <c r="FT143" s="78"/>
      <c r="FU143" s="78"/>
      <c r="FV143" s="78"/>
      <c r="FW143" s="78"/>
      <c r="FX143" s="78"/>
      <c r="FY143" s="78"/>
    </row>
    <row r="144" spans="1:181" s="71" customFormat="1" ht="16.350000000000001" customHeight="1" x14ac:dyDescent="0.25">
      <c r="A144" s="109"/>
      <c r="B144" s="70"/>
      <c r="C144" s="110"/>
      <c r="D144" s="110"/>
      <c r="E144" s="146"/>
      <c r="F144" s="109" t="str">
        <f>mehrsprachigkeitBegriffsrückgabe(gewählteSpracheZurückgeben(), "Product (foreign language)")</f>
        <v>Produkt (Fremdsprache)</v>
      </c>
      <c r="G144" s="111"/>
      <c r="H144" s="111" t="s">
        <v>260</v>
      </c>
      <c r="I144" s="111" t="s">
        <v>94</v>
      </c>
      <c r="J144" s="111" t="s">
        <v>305</v>
      </c>
      <c r="K144" s="111"/>
      <c r="L144" s="146"/>
      <c r="M144" s="149"/>
      <c r="N144" s="111"/>
      <c r="O144" s="111"/>
      <c r="P144" s="111"/>
      <c r="Q144" s="111"/>
      <c r="R144" s="111"/>
      <c r="S144" s="111"/>
      <c r="T144" s="111"/>
      <c r="U144" s="111"/>
      <c r="V144" s="111"/>
      <c r="W144" s="111"/>
      <c r="X144" s="111"/>
      <c r="Y144" s="111"/>
      <c r="Z144" s="111"/>
      <c r="AA144" s="111"/>
      <c r="AB144" s="111"/>
      <c r="AC144" s="111"/>
      <c r="AD144" s="111"/>
      <c r="AE144" s="111"/>
      <c r="AF144" s="111"/>
      <c r="AG144" s="111"/>
      <c r="AH144" s="111"/>
      <c r="AI144" s="111"/>
      <c r="AJ144" s="111"/>
      <c r="AK144" s="111"/>
      <c r="AL144" s="111"/>
      <c r="AM144" s="111"/>
      <c r="AN144" s="111"/>
      <c r="AO144" s="111"/>
      <c r="AP144" s="111"/>
      <c r="AQ144" s="111"/>
      <c r="AR144" s="111"/>
      <c r="AS144" s="111"/>
      <c r="AT144" s="111"/>
      <c r="AU144" s="111"/>
      <c r="AV144" s="111"/>
      <c r="AW144" s="111"/>
      <c r="AX144" s="111"/>
      <c r="AY144" s="111"/>
      <c r="AZ144" s="111"/>
      <c r="BA144" s="146"/>
      <c r="BB144" s="104" t="s">
        <v>99</v>
      </c>
      <c r="BC144" s="72" t="s">
        <v>95</v>
      </c>
      <c r="BD144" s="72"/>
      <c r="BE144" s="72"/>
      <c r="BF144" s="146"/>
      <c r="BG144" s="112" t="s">
        <v>113</v>
      </c>
      <c r="BH144" s="113"/>
      <c r="BI144" s="146"/>
      <c r="BJ144" s="105"/>
      <c r="BK144" s="113"/>
      <c r="BL144" s="113"/>
      <c r="BM144" s="105"/>
      <c r="BN144" s="113"/>
      <c r="BO144" s="113"/>
      <c r="BP144" s="146"/>
      <c r="BQ144" s="112" t="s">
        <v>113</v>
      </c>
      <c r="BR144" s="113"/>
      <c r="BS144" s="105"/>
      <c r="BT144" s="146"/>
      <c r="BU144" s="105"/>
      <c r="BV144" s="105"/>
      <c r="BW144" s="112"/>
      <c r="BX144" s="113"/>
      <c r="BY144" s="105"/>
      <c r="BZ144" s="113"/>
      <c r="CA144" s="113"/>
      <c r="CB144" s="105"/>
      <c r="CC144" s="113"/>
      <c r="CD144" s="113"/>
      <c r="CE144" s="112"/>
      <c r="CF144" s="113"/>
      <c r="CG144" s="105"/>
      <c r="CH144" s="146"/>
      <c r="CI144" s="105"/>
      <c r="CJ144" s="105"/>
      <c r="CK144" s="112"/>
      <c r="CL144" s="113"/>
      <c r="CM144" s="105"/>
      <c r="CN144" s="113"/>
      <c r="CO144" s="113"/>
      <c r="CP144" s="105"/>
      <c r="CQ144" s="113"/>
      <c r="CR144" s="113"/>
      <c r="CS144" s="112"/>
      <c r="CT144" s="113"/>
      <c r="CU144" s="105"/>
      <c r="CV144" s="146"/>
      <c r="CW144" s="105"/>
      <c r="CX144" s="105"/>
      <c r="CY144" s="112"/>
      <c r="CZ144" s="113"/>
      <c r="DA144" s="105"/>
      <c r="DB144" s="113"/>
      <c r="DC144" s="113"/>
      <c r="DD144" s="105"/>
      <c r="DE144" s="113"/>
      <c r="DF144" s="113"/>
      <c r="DG144" s="112"/>
      <c r="DH144" s="113"/>
      <c r="DI144" s="105"/>
      <c r="DJ144" s="146"/>
      <c r="DK144" s="105"/>
      <c r="DL144" s="105"/>
      <c r="DM144" s="112"/>
      <c r="DN144" s="113"/>
      <c r="DO144" s="105"/>
      <c r="DP144" s="113"/>
      <c r="DQ144" s="113"/>
      <c r="DR144" s="105"/>
      <c r="DS144" s="113"/>
      <c r="DT144" s="113"/>
      <c r="DU144" s="112"/>
      <c r="DV144" s="113"/>
      <c r="DW144" s="105"/>
      <c r="DX144" s="146"/>
      <c r="DY144" s="105"/>
      <c r="DZ144" s="105"/>
      <c r="EA144" s="112"/>
      <c r="EB144" s="113"/>
      <c r="EC144" s="105"/>
      <c r="ED144" s="113"/>
      <c r="EE144" s="113"/>
      <c r="EF144" s="105"/>
      <c r="EG144" s="113"/>
      <c r="EH144" s="113"/>
      <c r="EI144" s="112"/>
      <c r="EJ144" s="113"/>
      <c r="EK144" s="105"/>
      <c r="EL144" s="146"/>
      <c r="EM144" s="72"/>
      <c r="EN144" s="74"/>
      <c r="EO144" s="73"/>
      <c r="EP144" s="72" t="s">
        <v>96</v>
      </c>
      <c r="EQ144" s="72"/>
      <c r="ER144" s="75"/>
      <c r="ES144" s="76"/>
      <c r="ET144" s="77"/>
      <c r="EU144" s="77"/>
      <c r="EV144" s="78"/>
      <c r="EW144" s="72"/>
      <c r="EX144" s="72"/>
      <c r="EY144" s="72"/>
      <c r="EZ144" s="72"/>
      <c r="FA144" s="72"/>
      <c r="FB144" s="78"/>
      <c r="FC144" s="78"/>
      <c r="FD144" s="146"/>
      <c r="FE144" s="78"/>
      <c r="FF144" s="78"/>
      <c r="FG144" s="78"/>
      <c r="FO144" s="146"/>
      <c r="FP144" s="78"/>
      <c r="FQ144" s="78"/>
      <c r="FR144" s="78"/>
    </row>
    <row r="145" spans="1:181" s="71" customFormat="1" ht="16.350000000000001" customHeight="1" x14ac:dyDescent="0.25">
      <c r="A145" s="109"/>
      <c r="B145" s="70"/>
      <c r="C145" s="110"/>
      <c r="D145" s="110">
        <v>1</v>
      </c>
      <c r="E145" s="146"/>
      <c r="F145" s="109" t="str">
        <f>mehrsprachigkeitBegriffsrückgabe(gewählteSpracheZurückgeben(), "Product")</f>
        <v>Produkt</v>
      </c>
      <c r="G145" s="111" t="s">
        <v>261</v>
      </c>
      <c r="H145" s="111"/>
      <c r="I145" s="111" t="s">
        <v>86</v>
      </c>
      <c r="J145" s="111" t="s">
        <v>354</v>
      </c>
      <c r="K145" s="111"/>
      <c r="L145" s="146"/>
      <c r="M145" s="149" t="s">
        <v>392</v>
      </c>
      <c r="N145" s="111" t="s">
        <v>397</v>
      </c>
      <c r="O145" s="114" t="s">
        <v>392</v>
      </c>
      <c r="P145" s="114" t="s">
        <v>403</v>
      </c>
      <c r="Q145" s="111"/>
      <c r="R145" s="111" t="s">
        <v>113</v>
      </c>
      <c r="S145" s="111"/>
      <c r="T145" s="111"/>
      <c r="U145" s="111"/>
      <c r="V145" s="111"/>
      <c r="W145" s="111"/>
      <c r="X145" s="111"/>
      <c r="Y145" s="111"/>
      <c r="Z145" s="111"/>
      <c r="AA145" s="111"/>
      <c r="AB145" s="111"/>
      <c r="AC145" s="111"/>
      <c r="AD145" s="111"/>
      <c r="AE145" s="111"/>
      <c r="AF145" s="111"/>
      <c r="AG145" s="111"/>
      <c r="AH145" s="111"/>
      <c r="AI145" s="111"/>
      <c r="AJ145" s="111"/>
      <c r="AK145" s="111"/>
      <c r="AL145" s="111"/>
      <c r="AM145" s="111"/>
      <c r="AN145" s="111"/>
      <c r="AO145" s="111"/>
      <c r="AP145" s="111"/>
      <c r="AQ145" s="111"/>
      <c r="AR145" s="111"/>
      <c r="AS145" s="111"/>
      <c r="AT145" s="111"/>
      <c r="AU145" s="111"/>
      <c r="AV145" s="111"/>
      <c r="AW145" s="111"/>
      <c r="AX145" s="111"/>
      <c r="AY145" s="111"/>
      <c r="AZ145" s="111"/>
      <c r="BA145" s="146"/>
      <c r="BB145" s="104" t="s">
        <v>98</v>
      </c>
      <c r="BC145" s="72" t="s">
        <v>93</v>
      </c>
      <c r="BD145" s="72" t="s">
        <v>508</v>
      </c>
      <c r="BE145" s="72" t="s">
        <v>415</v>
      </c>
      <c r="BF145" s="146"/>
      <c r="BG145" s="112">
        <v>44.9</v>
      </c>
      <c r="BH145" s="113"/>
      <c r="BI145" s="146"/>
      <c r="BJ145" s="105"/>
      <c r="BK145" s="113"/>
      <c r="BL145" s="113"/>
      <c r="BM145" s="105"/>
      <c r="BN145" s="113"/>
      <c r="BO145" s="152"/>
      <c r="BP145" s="146"/>
      <c r="BQ145" s="112" t="s">
        <v>113</v>
      </c>
      <c r="BR145" s="113"/>
      <c r="BS145" s="105"/>
      <c r="BT145" s="146"/>
      <c r="BU145" s="105"/>
      <c r="BV145" s="105"/>
      <c r="BW145" s="112"/>
      <c r="BX145" s="113"/>
      <c r="BY145" s="105"/>
      <c r="BZ145" s="113"/>
      <c r="CA145" s="113"/>
      <c r="CB145" s="105"/>
      <c r="CC145" s="113"/>
      <c r="CD145" s="152"/>
      <c r="CE145" s="112"/>
      <c r="CF145" s="113"/>
      <c r="CG145" s="105"/>
      <c r="CH145" s="146"/>
      <c r="CI145" s="105"/>
      <c r="CJ145" s="105"/>
      <c r="CK145" s="112"/>
      <c r="CL145" s="113"/>
      <c r="CM145" s="105"/>
      <c r="CN145" s="152"/>
      <c r="CO145" s="152"/>
      <c r="CP145" s="105"/>
      <c r="CQ145" s="113"/>
      <c r="CR145" s="152"/>
      <c r="CS145" s="112"/>
      <c r="CT145" s="113"/>
      <c r="CU145" s="105"/>
      <c r="CV145" s="146"/>
      <c r="CW145" s="105"/>
      <c r="CX145" s="105"/>
      <c r="CY145" s="112"/>
      <c r="CZ145" s="113"/>
      <c r="DA145" s="105"/>
      <c r="DB145" s="113"/>
      <c r="DC145" s="113"/>
      <c r="DD145" s="105"/>
      <c r="DE145" s="113"/>
      <c r="DF145" s="113"/>
      <c r="DG145" s="112"/>
      <c r="DH145" s="113"/>
      <c r="DI145" s="105"/>
      <c r="DJ145" s="146"/>
      <c r="DK145" s="105"/>
      <c r="DL145" s="105"/>
      <c r="DM145" s="112"/>
      <c r="DN145" s="113"/>
      <c r="DO145" s="105"/>
      <c r="DP145" s="113"/>
      <c r="DQ145" s="113"/>
      <c r="DR145" s="105"/>
      <c r="DS145" s="113"/>
      <c r="DT145" s="113"/>
      <c r="DU145" s="112"/>
      <c r="DV145" s="113"/>
      <c r="DW145" s="105"/>
      <c r="DX145" s="146"/>
      <c r="DY145" s="105"/>
      <c r="DZ145" s="105"/>
      <c r="EA145" s="112"/>
      <c r="EB145" s="113"/>
      <c r="EC145" s="105"/>
      <c r="ED145" s="113"/>
      <c r="EE145" s="113"/>
      <c r="EF145" s="105"/>
      <c r="EG145" s="113"/>
      <c r="EH145" s="113"/>
      <c r="EI145" s="112"/>
      <c r="EJ145" s="113"/>
      <c r="EK145" s="105"/>
      <c r="EL145" s="146"/>
      <c r="EM145" s="72" t="s">
        <v>115</v>
      </c>
      <c r="EN145" s="74">
        <v>2250</v>
      </c>
      <c r="EO145" s="73"/>
      <c r="EP145" s="72" t="s">
        <v>77</v>
      </c>
      <c r="EQ145" s="72"/>
      <c r="ER145" s="75"/>
      <c r="ES145" s="76"/>
      <c r="ET145" s="77"/>
      <c r="EU145" s="77"/>
      <c r="EV145" s="78"/>
      <c r="EW145" s="72"/>
      <c r="EX145" s="72"/>
      <c r="EY145" s="72" t="s">
        <v>100</v>
      </c>
      <c r="EZ145" s="72" t="s">
        <v>114</v>
      </c>
      <c r="FA145" s="72"/>
      <c r="FB145" s="78"/>
      <c r="FC145" s="78"/>
      <c r="FD145" s="146"/>
      <c r="FE145" s="78"/>
      <c r="FF145" s="78"/>
      <c r="FG145" s="78"/>
      <c r="FH145" s="78"/>
      <c r="FI145" s="78"/>
      <c r="FJ145" s="78"/>
      <c r="FK145" s="78"/>
      <c r="FL145" s="78"/>
      <c r="FM145" s="78"/>
      <c r="FN145" s="78"/>
      <c r="FO145" s="146"/>
      <c r="FP145" s="78"/>
      <c r="FQ145" s="78"/>
      <c r="FR145" s="78"/>
      <c r="FS145" s="78"/>
      <c r="FT145" s="78"/>
      <c r="FU145" s="78"/>
      <c r="FV145" s="78"/>
      <c r="FW145" s="78"/>
      <c r="FX145" s="78"/>
      <c r="FY145" s="78"/>
    </row>
    <row r="146" spans="1:181" s="71" customFormat="1" ht="16.350000000000001" customHeight="1" x14ac:dyDescent="0.25">
      <c r="A146" s="109"/>
      <c r="B146" s="70"/>
      <c r="C146" s="110"/>
      <c r="D146" s="110"/>
      <c r="E146" s="146"/>
      <c r="F146" s="109" t="str">
        <f>mehrsprachigkeitBegriffsrückgabe(gewählteSpracheZurückgeben(), "Product (foreign language)")</f>
        <v>Produkt (Fremdsprache)</v>
      </c>
      <c r="G146" s="111"/>
      <c r="H146" s="111" t="s">
        <v>261</v>
      </c>
      <c r="I146" s="111" t="s">
        <v>94</v>
      </c>
      <c r="J146" s="111" t="s">
        <v>306</v>
      </c>
      <c r="K146" s="111"/>
      <c r="L146" s="146"/>
      <c r="M146" s="149"/>
      <c r="N146" s="111"/>
      <c r="O146" s="111"/>
      <c r="P146" s="111"/>
      <c r="Q146" s="111"/>
      <c r="R146" s="111"/>
      <c r="S146" s="111"/>
      <c r="T146" s="111"/>
      <c r="U146" s="111"/>
      <c r="V146" s="111"/>
      <c r="W146" s="111"/>
      <c r="X146" s="111"/>
      <c r="Y146" s="111"/>
      <c r="Z146" s="111"/>
      <c r="AA146" s="111"/>
      <c r="AB146" s="111"/>
      <c r="AC146" s="111"/>
      <c r="AD146" s="111"/>
      <c r="AE146" s="111"/>
      <c r="AF146" s="111"/>
      <c r="AG146" s="111"/>
      <c r="AH146" s="111"/>
      <c r="AI146" s="111"/>
      <c r="AJ146" s="111"/>
      <c r="AK146" s="111"/>
      <c r="AL146" s="111"/>
      <c r="AM146" s="111"/>
      <c r="AN146" s="111"/>
      <c r="AO146" s="111"/>
      <c r="AP146" s="111"/>
      <c r="AQ146" s="111"/>
      <c r="AR146" s="111"/>
      <c r="AS146" s="111"/>
      <c r="AT146" s="111"/>
      <c r="AU146" s="111"/>
      <c r="AV146" s="111"/>
      <c r="AW146" s="111"/>
      <c r="AX146" s="111"/>
      <c r="AY146" s="111"/>
      <c r="AZ146" s="111"/>
      <c r="BA146" s="146"/>
      <c r="BB146" s="104" t="s">
        <v>99</v>
      </c>
      <c r="BC146" s="72" t="s">
        <v>95</v>
      </c>
      <c r="BD146" s="72"/>
      <c r="BE146" s="72"/>
      <c r="BF146" s="146"/>
      <c r="BG146" s="112" t="s">
        <v>113</v>
      </c>
      <c r="BH146" s="113"/>
      <c r="BI146" s="146"/>
      <c r="BJ146" s="105"/>
      <c r="BK146" s="113"/>
      <c r="BL146" s="113"/>
      <c r="BM146" s="105"/>
      <c r="BN146" s="113"/>
      <c r="BO146" s="113"/>
      <c r="BP146" s="146"/>
      <c r="BQ146" s="112" t="s">
        <v>113</v>
      </c>
      <c r="BR146" s="113"/>
      <c r="BS146" s="105"/>
      <c r="BT146" s="146"/>
      <c r="BU146" s="105"/>
      <c r="BV146" s="105"/>
      <c r="BW146" s="112"/>
      <c r="BX146" s="113"/>
      <c r="BY146" s="105"/>
      <c r="BZ146" s="113"/>
      <c r="CA146" s="113"/>
      <c r="CB146" s="105"/>
      <c r="CC146" s="113"/>
      <c r="CD146" s="113"/>
      <c r="CE146" s="112"/>
      <c r="CF146" s="113"/>
      <c r="CG146" s="105"/>
      <c r="CH146" s="146"/>
      <c r="CI146" s="105"/>
      <c r="CJ146" s="105"/>
      <c r="CK146" s="112"/>
      <c r="CL146" s="113"/>
      <c r="CM146" s="105"/>
      <c r="CN146" s="113"/>
      <c r="CO146" s="113"/>
      <c r="CP146" s="105"/>
      <c r="CQ146" s="113"/>
      <c r="CR146" s="113"/>
      <c r="CS146" s="112"/>
      <c r="CT146" s="113"/>
      <c r="CU146" s="105"/>
      <c r="CV146" s="146"/>
      <c r="CW146" s="105"/>
      <c r="CX146" s="105"/>
      <c r="CY146" s="112"/>
      <c r="CZ146" s="113"/>
      <c r="DA146" s="105"/>
      <c r="DB146" s="113"/>
      <c r="DC146" s="113"/>
      <c r="DD146" s="105"/>
      <c r="DE146" s="113"/>
      <c r="DF146" s="113"/>
      <c r="DG146" s="112"/>
      <c r="DH146" s="113"/>
      <c r="DI146" s="105"/>
      <c r="DJ146" s="146"/>
      <c r="DK146" s="105"/>
      <c r="DL146" s="105"/>
      <c r="DM146" s="112"/>
      <c r="DN146" s="113"/>
      <c r="DO146" s="105"/>
      <c r="DP146" s="113"/>
      <c r="DQ146" s="113"/>
      <c r="DR146" s="105"/>
      <c r="DS146" s="113"/>
      <c r="DT146" s="113"/>
      <c r="DU146" s="112"/>
      <c r="DV146" s="113"/>
      <c r="DW146" s="105"/>
      <c r="DX146" s="146"/>
      <c r="DY146" s="105"/>
      <c r="DZ146" s="105"/>
      <c r="EA146" s="112"/>
      <c r="EB146" s="113"/>
      <c r="EC146" s="105"/>
      <c r="ED146" s="113"/>
      <c r="EE146" s="113"/>
      <c r="EF146" s="105"/>
      <c r="EG146" s="113"/>
      <c r="EH146" s="113"/>
      <c r="EI146" s="112"/>
      <c r="EJ146" s="113"/>
      <c r="EK146" s="105"/>
      <c r="EL146" s="146"/>
      <c r="EM146" s="72"/>
      <c r="EN146" s="74"/>
      <c r="EO146" s="73"/>
      <c r="EP146" s="72" t="s">
        <v>96</v>
      </c>
      <c r="EQ146" s="72"/>
      <c r="ER146" s="75"/>
      <c r="ES146" s="76"/>
      <c r="ET146" s="77"/>
      <c r="EU146" s="77"/>
      <c r="EV146" s="78"/>
      <c r="EW146" s="72"/>
      <c r="EX146" s="72"/>
      <c r="EY146" s="72"/>
      <c r="EZ146" s="72"/>
      <c r="FA146" s="72"/>
      <c r="FB146" s="78"/>
      <c r="FC146" s="78"/>
      <c r="FD146" s="146"/>
      <c r="FE146" s="78"/>
      <c r="FF146" s="78"/>
      <c r="FG146" s="78"/>
      <c r="FO146" s="146"/>
      <c r="FP146" s="78"/>
      <c r="FQ146" s="78"/>
      <c r="FR146" s="78"/>
    </row>
    <row r="147" spans="1:181" s="71" customFormat="1" ht="16.350000000000001" customHeight="1" x14ac:dyDescent="0.25">
      <c r="A147" s="109"/>
      <c r="B147" s="70"/>
      <c r="C147" s="110"/>
      <c r="D147" s="110">
        <v>1</v>
      </c>
      <c r="E147" s="146"/>
      <c r="F147" s="109" t="str">
        <f>mehrsprachigkeitBegriffsrückgabe(gewählteSpracheZurückgeben(), "Product")</f>
        <v>Produkt</v>
      </c>
      <c r="G147" s="111" t="s">
        <v>262</v>
      </c>
      <c r="H147" s="111"/>
      <c r="I147" s="111" t="s">
        <v>86</v>
      </c>
      <c r="J147" s="111" t="s">
        <v>355</v>
      </c>
      <c r="K147" s="111"/>
      <c r="L147" s="146"/>
      <c r="M147" s="149" t="s">
        <v>392</v>
      </c>
      <c r="N147" s="111" t="s">
        <v>401</v>
      </c>
      <c r="O147" s="114"/>
      <c r="P147" s="114" t="s">
        <v>113</v>
      </c>
      <c r="Q147" s="111"/>
      <c r="R147" s="111"/>
      <c r="S147" s="111"/>
      <c r="T147" s="111"/>
      <c r="U147" s="111"/>
      <c r="V147" s="111"/>
      <c r="W147" s="111"/>
      <c r="X147" s="111"/>
      <c r="Y147" s="111"/>
      <c r="Z147" s="111"/>
      <c r="AA147" s="111"/>
      <c r="AB147" s="111"/>
      <c r="AC147" s="111"/>
      <c r="AD147" s="111"/>
      <c r="AE147" s="111"/>
      <c r="AF147" s="111"/>
      <c r="AG147" s="111"/>
      <c r="AH147" s="111"/>
      <c r="AI147" s="111"/>
      <c r="AJ147" s="111"/>
      <c r="AK147" s="111"/>
      <c r="AL147" s="111"/>
      <c r="AM147" s="111"/>
      <c r="AN147" s="111"/>
      <c r="AO147" s="111"/>
      <c r="AP147" s="111"/>
      <c r="AQ147" s="111"/>
      <c r="AR147" s="111"/>
      <c r="AS147" s="111"/>
      <c r="AT147" s="111"/>
      <c r="AU147" s="111"/>
      <c r="AV147" s="111"/>
      <c r="AW147" s="111"/>
      <c r="AX147" s="111"/>
      <c r="AY147" s="111"/>
      <c r="AZ147" s="111"/>
      <c r="BA147" s="146"/>
      <c r="BB147" s="104" t="s">
        <v>98</v>
      </c>
      <c r="BC147" s="72" t="s">
        <v>93</v>
      </c>
      <c r="BD147" s="72" t="s">
        <v>508</v>
      </c>
      <c r="BE147" s="72" t="s">
        <v>412</v>
      </c>
      <c r="BF147" s="146"/>
      <c r="BG147" s="112">
        <v>64.900000000000006</v>
      </c>
      <c r="BH147" s="113"/>
      <c r="BI147" s="146"/>
      <c r="BJ147" s="105"/>
      <c r="BK147" s="113"/>
      <c r="BL147" s="113"/>
      <c r="BM147" s="105"/>
      <c r="BN147" s="113"/>
      <c r="BO147" s="152"/>
      <c r="BP147" s="146"/>
      <c r="BQ147" s="112">
        <v>89.9</v>
      </c>
      <c r="BR147" s="113"/>
      <c r="BS147" s="105">
        <v>1</v>
      </c>
      <c r="BT147" s="146"/>
      <c r="BU147" s="105"/>
      <c r="BV147" s="105"/>
      <c r="BW147" s="112"/>
      <c r="BX147" s="113"/>
      <c r="BY147" s="105"/>
      <c r="BZ147" s="113"/>
      <c r="CA147" s="113"/>
      <c r="CB147" s="105"/>
      <c r="CC147" s="113"/>
      <c r="CD147" s="152"/>
      <c r="CE147" s="112"/>
      <c r="CF147" s="113"/>
      <c r="CG147" s="105"/>
      <c r="CH147" s="146"/>
      <c r="CI147" s="105"/>
      <c r="CJ147" s="105"/>
      <c r="CK147" s="112"/>
      <c r="CL147" s="113"/>
      <c r="CM147" s="105"/>
      <c r="CN147" s="152"/>
      <c r="CO147" s="152"/>
      <c r="CP147" s="105"/>
      <c r="CQ147" s="113"/>
      <c r="CR147" s="152"/>
      <c r="CS147" s="112"/>
      <c r="CT147" s="113"/>
      <c r="CU147" s="105"/>
      <c r="CV147" s="146"/>
      <c r="CW147" s="105"/>
      <c r="CX147" s="105"/>
      <c r="CY147" s="112"/>
      <c r="CZ147" s="113"/>
      <c r="DA147" s="105"/>
      <c r="DB147" s="113"/>
      <c r="DC147" s="113"/>
      <c r="DD147" s="105"/>
      <c r="DE147" s="113"/>
      <c r="DF147" s="113"/>
      <c r="DG147" s="112"/>
      <c r="DH147" s="113"/>
      <c r="DI147" s="105"/>
      <c r="DJ147" s="146"/>
      <c r="DK147" s="105"/>
      <c r="DL147" s="105"/>
      <c r="DM147" s="112"/>
      <c r="DN147" s="113"/>
      <c r="DO147" s="105"/>
      <c r="DP147" s="113"/>
      <c r="DQ147" s="113"/>
      <c r="DR147" s="105"/>
      <c r="DS147" s="113"/>
      <c r="DT147" s="113"/>
      <c r="DU147" s="112"/>
      <c r="DV147" s="113"/>
      <c r="DW147" s="105"/>
      <c r="DX147" s="146"/>
      <c r="DY147" s="105"/>
      <c r="DZ147" s="105"/>
      <c r="EA147" s="112"/>
      <c r="EB147" s="113"/>
      <c r="EC147" s="105"/>
      <c r="ED147" s="113"/>
      <c r="EE147" s="113"/>
      <c r="EF147" s="105"/>
      <c r="EG147" s="113"/>
      <c r="EH147" s="113"/>
      <c r="EI147" s="112"/>
      <c r="EJ147" s="113"/>
      <c r="EK147" s="105"/>
      <c r="EL147" s="146"/>
      <c r="EM147" s="72" t="s">
        <v>115</v>
      </c>
      <c r="EN147" s="74">
        <v>2250</v>
      </c>
      <c r="EO147" s="73"/>
      <c r="EP147" s="72" t="s">
        <v>77</v>
      </c>
      <c r="EQ147" s="72"/>
      <c r="ER147" s="75"/>
      <c r="ES147" s="76"/>
      <c r="ET147" s="77"/>
      <c r="EU147" s="77">
        <v>1</v>
      </c>
      <c r="EV147" s="78"/>
      <c r="EW147" s="72"/>
      <c r="EX147" s="72"/>
      <c r="EY147" s="72" t="s">
        <v>100</v>
      </c>
      <c r="EZ147" s="72" t="s">
        <v>114</v>
      </c>
      <c r="FA147" s="72"/>
      <c r="FB147" s="78"/>
      <c r="FC147" s="78"/>
      <c r="FD147" s="146"/>
      <c r="FE147" s="78"/>
      <c r="FF147" s="78"/>
      <c r="FG147" s="78"/>
      <c r="FH147" s="78"/>
      <c r="FI147" s="78"/>
      <c r="FJ147" s="78"/>
      <c r="FK147" s="78"/>
      <c r="FL147" s="78"/>
      <c r="FM147" s="78"/>
      <c r="FN147" s="78"/>
      <c r="FO147" s="146"/>
      <c r="FP147" s="78"/>
      <c r="FQ147" s="78"/>
      <c r="FR147" s="78"/>
      <c r="FS147" s="78"/>
      <c r="FT147" s="78"/>
      <c r="FU147" s="78"/>
      <c r="FV147" s="78"/>
      <c r="FW147" s="78"/>
      <c r="FX147" s="78"/>
      <c r="FY147" s="78"/>
    </row>
    <row r="148" spans="1:181" s="71" customFormat="1" ht="16.350000000000001" customHeight="1" x14ac:dyDescent="0.25">
      <c r="A148" s="109"/>
      <c r="B148" s="70"/>
      <c r="C148" s="110"/>
      <c r="D148" s="110"/>
      <c r="E148" s="146"/>
      <c r="F148" s="109" t="str">
        <f>mehrsprachigkeitBegriffsrückgabe(gewählteSpracheZurückgeben(), "Product (foreign language)")</f>
        <v>Produkt (Fremdsprache)</v>
      </c>
      <c r="G148" s="111"/>
      <c r="H148" s="111" t="s">
        <v>262</v>
      </c>
      <c r="I148" s="111" t="s">
        <v>94</v>
      </c>
      <c r="J148" s="111" t="s">
        <v>307</v>
      </c>
      <c r="K148" s="111"/>
      <c r="L148" s="146"/>
      <c r="M148" s="149"/>
      <c r="N148" s="111"/>
      <c r="O148" s="111"/>
      <c r="P148" s="111"/>
      <c r="Q148" s="111"/>
      <c r="R148" s="111"/>
      <c r="S148" s="111"/>
      <c r="T148" s="111"/>
      <c r="U148" s="111"/>
      <c r="V148" s="111"/>
      <c r="W148" s="111"/>
      <c r="X148" s="111"/>
      <c r="Y148" s="111"/>
      <c r="Z148" s="111"/>
      <c r="AA148" s="111"/>
      <c r="AB148" s="111"/>
      <c r="AC148" s="111"/>
      <c r="AD148" s="111"/>
      <c r="AE148" s="111"/>
      <c r="AF148" s="111"/>
      <c r="AG148" s="111"/>
      <c r="AH148" s="111"/>
      <c r="AI148" s="111"/>
      <c r="AJ148" s="111"/>
      <c r="AK148" s="111"/>
      <c r="AL148" s="111"/>
      <c r="AM148" s="111"/>
      <c r="AN148" s="111"/>
      <c r="AO148" s="111"/>
      <c r="AP148" s="111"/>
      <c r="AQ148" s="111"/>
      <c r="AR148" s="111"/>
      <c r="AS148" s="111"/>
      <c r="AT148" s="111"/>
      <c r="AU148" s="111"/>
      <c r="AV148" s="111"/>
      <c r="AW148" s="111"/>
      <c r="AX148" s="111"/>
      <c r="AY148" s="111"/>
      <c r="AZ148" s="111"/>
      <c r="BA148" s="146"/>
      <c r="BB148" s="104" t="s">
        <v>99</v>
      </c>
      <c r="BC148" s="72" t="s">
        <v>95</v>
      </c>
      <c r="BD148" s="72"/>
      <c r="BE148" s="72"/>
      <c r="BF148" s="146"/>
      <c r="BG148" s="112" t="s">
        <v>113</v>
      </c>
      <c r="BH148" s="113"/>
      <c r="BI148" s="146"/>
      <c r="BJ148" s="105"/>
      <c r="BK148" s="113"/>
      <c r="BL148" s="113"/>
      <c r="BM148" s="105"/>
      <c r="BN148" s="113"/>
      <c r="BO148" s="113"/>
      <c r="BP148" s="146"/>
      <c r="BQ148" s="112" t="s">
        <v>113</v>
      </c>
      <c r="BR148" s="113"/>
      <c r="BS148" s="105"/>
      <c r="BT148" s="146"/>
      <c r="BU148" s="105"/>
      <c r="BV148" s="105"/>
      <c r="BW148" s="112"/>
      <c r="BX148" s="113"/>
      <c r="BY148" s="105"/>
      <c r="BZ148" s="113"/>
      <c r="CA148" s="113"/>
      <c r="CB148" s="105"/>
      <c r="CC148" s="113"/>
      <c r="CD148" s="113"/>
      <c r="CE148" s="112"/>
      <c r="CF148" s="113"/>
      <c r="CG148" s="105"/>
      <c r="CH148" s="146"/>
      <c r="CI148" s="105"/>
      <c r="CJ148" s="105"/>
      <c r="CK148" s="112"/>
      <c r="CL148" s="113"/>
      <c r="CM148" s="105"/>
      <c r="CN148" s="113"/>
      <c r="CO148" s="113"/>
      <c r="CP148" s="105"/>
      <c r="CQ148" s="113"/>
      <c r="CR148" s="113"/>
      <c r="CS148" s="112"/>
      <c r="CT148" s="113"/>
      <c r="CU148" s="105"/>
      <c r="CV148" s="146"/>
      <c r="CW148" s="105"/>
      <c r="CX148" s="105"/>
      <c r="CY148" s="112"/>
      <c r="CZ148" s="113"/>
      <c r="DA148" s="105"/>
      <c r="DB148" s="113"/>
      <c r="DC148" s="113"/>
      <c r="DD148" s="105"/>
      <c r="DE148" s="113"/>
      <c r="DF148" s="113"/>
      <c r="DG148" s="112"/>
      <c r="DH148" s="113"/>
      <c r="DI148" s="105"/>
      <c r="DJ148" s="146"/>
      <c r="DK148" s="105"/>
      <c r="DL148" s="105"/>
      <c r="DM148" s="112"/>
      <c r="DN148" s="113"/>
      <c r="DO148" s="105"/>
      <c r="DP148" s="113"/>
      <c r="DQ148" s="113"/>
      <c r="DR148" s="105"/>
      <c r="DS148" s="113"/>
      <c r="DT148" s="113"/>
      <c r="DU148" s="112"/>
      <c r="DV148" s="113"/>
      <c r="DW148" s="105"/>
      <c r="DX148" s="146"/>
      <c r="DY148" s="105"/>
      <c r="DZ148" s="105"/>
      <c r="EA148" s="112"/>
      <c r="EB148" s="113"/>
      <c r="EC148" s="105"/>
      <c r="ED148" s="113"/>
      <c r="EE148" s="113"/>
      <c r="EF148" s="105"/>
      <c r="EG148" s="113"/>
      <c r="EH148" s="113"/>
      <c r="EI148" s="112"/>
      <c r="EJ148" s="113"/>
      <c r="EK148" s="105"/>
      <c r="EL148" s="146"/>
      <c r="EM148" s="72"/>
      <c r="EN148" s="74"/>
      <c r="EO148" s="73"/>
      <c r="EP148" s="72" t="s">
        <v>96</v>
      </c>
      <c r="EQ148" s="72"/>
      <c r="ER148" s="75"/>
      <c r="ES148" s="76"/>
      <c r="ET148" s="77"/>
      <c r="EU148" s="77"/>
      <c r="EV148" s="78"/>
      <c r="EW148" s="72"/>
      <c r="EX148" s="72"/>
      <c r="EY148" s="72"/>
      <c r="EZ148" s="72"/>
      <c r="FA148" s="72"/>
      <c r="FB148" s="78"/>
      <c r="FC148" s="78"/>
      <c r="FD148" s="146"/>
      <c r="FE148" s="78"/>
      <c r="FF148" s="78"/>
      <c r="FG148" s="78"/>
      <c r="FO148" s="146"/>
      <c r="FP148" s="78"/>
      <c r="FQ148" s="78"/>
      <c r="FR148" s="78"/>
    </row>
    <row r="149" spans="1:181" s="71" customFormat="1" ht="16.350000000000001" customHeight="1" x14ac:dyDescent="0.25">
      <c r="A149" s="109"/>
      <c r="B149" s="70"/>
      <c r="C149" s="110"/>
      <c r="D149" s="110">
        <v>1</v>
      </c>
      <c r="E149" s="146"/>
      <c r="F149" s="109" t="str">
        <f>mehrsprachigkeitBegriffsrückgabe(gewählteSpracheZurückgeben(), "Product")</f>
        <v>Produkt</v>
      </c>
      <c r="G149" s="111" t="s">
        <v>263</v>
      </c>
      <c r="H149" s="111"/>
      <c r="I149" s="111" t="s">
        <v>86</v>
      </c>
      <c r="J149" s="111" t="s">
        <v>356</v>
      </c>
      <c r="K149" s="111"/>
      <c r="L149" s="146"/>
      <c r="M149" s="149" t="s">
        <v>392</v>
      </c>
      <c r="N149" s="111" t="s">
        <v>396</v>
      </c>
      <c r="O149" s="114"/>
      <c r="P149" s="114"/>
      <c r="Q149" s="111"/>
      <c r="R149" s="111"/>
      <c r="S149" s="111"/>
      <c r="T149" s="111"/>
      <c r="U149" s="111"/>
      <c r="V149" s="111"/>
      <c r="W149" s="111"/>
      <c r="X149" s="111"/>
      <c r="Y149" s="111"/>
      <c r="Z149" s="111"/>
      <c r="AA149" s="111"/>
      <c r="AB149" s="111"/>
      <c r="AC149" s="111"/>
      <c r="AD149" s="111"/>
      <c r="AE149" s="111"/>
      <c r="AF149" s="111"/>
      <c r="AG149" s="111"/>
      <c r="AH149" s="111"/>
      <c r="AI149" s="111"/>
      <c r="AJ149" s="111"/>
      <c r="AK149" s="111"/>
      <c r="AL149" s="111"/>
      <c r="AM149" s="111"/>
      <c r="AN149" s="111"/>
      <c r="AO149" s="111"/>
      <c r="AP149" s="111"/>
      <c r="AQ149" s="111"/>
      <c r="AR149" s="111"/>
      <c r="AS149" s="111"/>
      <c r="AT149" s="111"/>
      <c r="AU149" s="111"/>
      <c r="AV149" s="111"/>
      <c r="AW149" s="111"/>
      <c r="AX149" s="111"/>
      <c r="AY149" s="111"/>
      <c r="AZ149" s="111"/>
      <c r="BA149" s="146"/>
      <c r="BB149" s="104" t="s">
        <v>98</v>
      </c>
      <c r="BC149" s="72" t="s">
        <v>93</v>
      </c>
      <c r="BD149" s="72" t="s">
        <v>508</v>
      </c>
      <c r="BE149" s="72" t="s">
        <v>414</v>
      </c>
      <c r="BF149" s="146"/>
      <c r="BG149" s="112">
        <v>109.9</v>
      </c>
      <c r="BH149" s="113"/>
      <c r="BI149" s="146"/>
      <c r="BJ149" s="105"/>
      <c r="BK149" s="113"/>
      <c r="BL149" s="113"/>
      <c r="BM149" s="105"/>
      <c r="BN149" s="113"/>
      <c r="BO149" s="152"/>
      <c r="BP149" s="146"/>
      <c r="BQ149" s="112" t="s">
        <v>113</v>
      </c>
      <c r="BR149" s="113"/>
      <c r="BS149" s="105"/>
      <c r="BT149" s="146"/>
      <c r="BU149" s="105"/>
      <c r="BV149" s="105"/>
      <c r="BW149" s="112"/>
      <c r="BX149" s="113"/>
      <c r="BY149" s="105"/>
      <c r="BZ149" s="113"/>
      <c r="CA149" s="113"/>
      <c r="CB149" s="105"/>
      <c r="CC149" s="113"/>
      <c r="CD149" s="152"/>
      <c r="CE149" s="112"/>
      <c r="CF149" s="113"/>
      <c r="CG149" s="105"/>
      <c r="CH149" s="146"/>
      <c r="CI149" s="105"/>
      <c r="CJ149" s="105"/>
      <c r="CK149" s="112"/>
      <c r="CL149" s="113"/>
      <c r="CM149" s="105"/>
      <c r="CN149" s="152"/>
      <c r="CO149" s="152"/>
      <c r="CP149" s="105"/>
      <c r="CQ149" s="113"/>
      <c r="CR149" s="152"/>
      <c r="CS149" s="112"/>
      <c r="CT149" s="113"/>
      <c r="CU149" s="105"/>
      <c r="CV149" s="146"/>
      <c r="CW149" s="105"/>
      <c r="CX149" s="105"/>
      <c r="CY149" s="112"/>
      <c r="CZ149" s="113"/>
      <c r="DA149" s="105"/>
      <c r="DB149" s="113"/>
      <c r="DC149" s="113"/>
      <c r="DD149" s="105"/>
      <c r="DE149" s="113"/>
      <c r="DF149" s="113"/>
      <c r="DG149" s="112"/>
      <c r="DH149" s="113"/>
      <c r="DI149" s="105"/>
      <c r="DJ149" s="146"/>
      <c r="DK149" s="105"/>
      <c r="DL149" s="105"/>
      <c r="DM149" s="112"/>
      <c r="DN149" s="113"/>
      <c r="DO149" s="105"/>
      <c r="DP149" s="113"/>
      <c r="DQ149" s="113"/>
      <c r="DR149" s="105"/>
      <c r="DS149" s="113"/>
      <c r="DT149" s="113"/>
      <c r="DU149" s="112"/>
      <c r="DV149" s="113"/>
      <c r="DW149" s="105"/>
      <c r="DX149" s="146"/>
      <c r="DY149" s="105"/>
      <c r="DZ149" s="105"/>
      <c r="EA149" s="112"/>
      <c r="EB149" s="113"/>
      <c r="EC149" s="105"/>
      <c r="ED149" s="113"/>
      <c r="EE149" s="113"/>
      <c r="EF149" s="105"/>
      <c r="EG149" s="113"/>
      <c r="EH149" s="113"/>
      <c r="EI149" s="112"/>
      <c r="EJ149" s="113"/>
      <c r="EK149" s="105"/>
      <c r="EL149" s="146"/>
      <c r="EM149" s="72" t="s">
        <v>115</v>
      </c>
      <c r="EN149" s="74">
        <v>2250</v>
      </c>
      <c r="EO149" s="73"/>
      <c r="EP149" s="72" t="s">
        <v>77</v>
      </c>
      <c r="EQ149" s="72"/>
      <c r="ER149" s="75"/>
      <c r="ES149" s="76"/>
      <c r="ET149" s="77"/>
      <c r="EU149" s="77"/>
      <c r="EV149" s="78"/>
      <c r="EW149" s="72"/>
      <c r="EX149" s="72"/>
      <c r="EY149" s="72" t="s">
        <v>100</v>
      </c>
      <c r="EZ149" s="72" t="s">
        <v>114</v>
      </c>
      <c r="FA149" s="72"/>
      <c r="FB149" s="78"/>
      <c r="FC149" s="78"/>
      <c r="FD149" s="146"/>
      <c r="FE149" s="78"/>
      <c r="FF149" s="78"/>
      <c r="FG149" s="78"/>
      <c r="FH149" s="78"/>
      <c r="FI149" s="78"/>
      <c r="FJ149" s="78"/>
      <c r="FK149" s="78"/>
      <c r="FL149" s="78"/>
      <c r="FM149" s="78"/>
      <c r="FN149" s="78"/>
      <c r="FO149" s="146"/>
      <c r="FP149" s="78"/>
      <c r="FQ149" s="78"/>
      <c r="FR149" s="78"/>
      <c r="FS149" s="78"/>
      <c r="FT149" s="78"/>
      <c r="FU149" s="78"/>
      <c r="FV149" s="78"/>
      <c r="FW149" s="78"/>
      <c r="FX149" s="78"/>
      <c r="FY149" s="78"/>
    </row>
    <row r="150" spans="1:181" s="71" customFormat="1" ht="16.350000000000001" customHeight="1" x14ac:dyDescent="0.25">
      <c r="A150" s="109"/>
      <c r="B150" s="70"/>
      <c r="C150" s="110"/>
      <c r="D150" s="110"/>
      <c r="E150" s="146"/>
      <c r="F150" s="109" t="str">
        <f>mehrsprachigkeitBegriffsrückgabe(gewählteSpracheZurückgeben(), "Product (foreign language)")</f>
        <v>Produkt (Fremdsprache)</v>
      </c>
      <c r="G150" s="111"/>
      <c r="H150" s="111" t="s">
        <v>263</v>
      </c>
      <c r="I150" s="111" t="s">
        <v>94</v>
      </c>
      <c r="J150" s="111" t="s">
        <v>308</v>
      </c>
      <c r="K150" s="111"/>
      <c r="L150" s="146"/>
      <c r="M150" s="149"/>
      <c r="N150" s="111"/>
      <c r="O150" s="111"/>
      <c r="P150" s="111"/>
      <c r="Q150" s="111"/>
      <c r="R150" s="111"/>
      <c r="S150" s="111"/>
      <c r="T150" s="111"/>
      <c r="U150" s="111"/>
      <c r="V150" s="111"/>
      <c r="W150" s="111"/>
      <c r="X150" s="111"/>
      <c r="Y150" s="111"/>
      <c r="Z150" s="111"/>
      <c r="AA150" s="111"/>
      <c r="AB150" s="111"/>
      <c r="AC150" s="111"/>
      <c r="AD150" s="111"/>
      <c r="AE150" s="111"/>
      <c r="AF150" s="111"/>
      <c r="AG150" s="111"/>
      <c r="AH150" s="111"/>
      <c r="AI150" s="111"/>
      <c r="AJ150" s="111"/>
      <c r="AK150" s="111"/>
      <c r="AL150" s="111"/>
      <c r="AM150" s="111"/>
      <c r="AN150" s="111"/>
      <c r="AO150" s="111"/>
      <c r="AP150" s="111"/>
      <c r="AQ150" s="111"/>
      <c r="AR150" s="111"/>
      <c r="AS150" s="111"/>
      <c r="AT150" s="111"/>
      <c r="AU150" s="111"/>
      <c r="AV150" s="111"/>
      <c r="AW150" s="111"/>
      <c r="AX150" s="111"/>
      <c r="AY150" s="111"/>
      <c r="AZ150" s="111"/>
      <c r="BA150" s="146"/>
      <c r="BB150" s="104" t="s">
        <v>99</v>
      </c>
      <c r="BC150" s="72" t="s">
        <v>95</v>
      </c>
      <c r="BD150" s="72"/>
      <c r="BE150" s="72"/>
      <c r="BF150" s="146"/>
      <c r="BG150" s="112" t="s">
        <v>113</v>
      </c>
      <c r="BH150" s="113"/>
      <c r="BI150" s="146"/>
      <c r="BJ150" s="105"/>
      <c r="BK150" s="113"/>
      <c r="BL150" s="113"/>
      <c r="BM150" s="105"/>
      <c r="BN150" s="113"/>
      <c r="BO150" s="113"/>
      <c r="BP150" s="146"/>
      <c r="BQ150" s="112" t="s">
        <v>113</v>
      </c>
      <c r="BR150" s="113"/>
      <c r="BS150" s="105"/>
      <c r="BT150" s="146"/>
      <c r="BU150" s="105"/>
      <c r="BV150" s="105"/>
      <c r="BW150" s="112"/>
      <c r="BX150" s="113"/>
      <c r="BY150" s="105"/>
      <c r="BZ150" s="113"/>
      <c r="CA150" s="113"/>
      <c r="CB150" s="105"/>
      <c r="CC150" s="113"/>
      <c r="CD150" s="113"/>
      <c r="CE150" s="112"/>
      <c r="CF150" s="113"/>
      <c r="CG150" s="105"/>
      <c r="CH150" s="146"/>
      <c r="CI150" s="105"/>
      <c r="CJ150" s="105"/>
      <c r="CK150" s="112"/>
      <c r="CL150" s="113"/>
      <c r="CM150" s="105"/>
      <c r="CN150" s="113"/>
      <c r="CO150" s="113"/>
      <c r="CP150" s="105"/>
      <c r="CQ150" s="113"/>
      <c r="CR150" s="113"/>
      <c r="CS150" s="112"/>
      <c r="CT150" s="113"/>
      <c r="CU150" s="105"/>
      <c r="CV150" s="146"/>
      <c r="CW150" s="105"/>
      <c r="CX150" s="105"/>
      <c r="CY150" s="112"/>
      <c r="CZ150" s="113"/>
      <c r="DA150" s="105"/>
      <c r="DB150" s="113"/>
      <c r="DC150" s="113"/>
      <c r="DD150" s="105"/>
      <c r="DE150" s="113"/>
      <c r="DF150" s="113"/>
      <c r="DG150" s="112"/>
      <c r="DH150" s="113"/>
      <c r="DI150" s="105"/>
      <c r="DJ150" s="146"/>
      <c r="DK150" s="105"/>
      <c r="DL150" s="105"/>
      <c r="DM150" s="112"/>
      <c r="DN150" s="113"/>
      <c r="DO150" s="105"/>
      <c r="DP150" s="113"/>
      <c r="DQ150" s="113"/>
      <c r="DR150" s="105"/>
      <c r="DS150" s="113"/>
      <c r="DT150" s="113"/>
      <c r="DU150" s="112"/>
      <c r="DV150" s="113"/>
      <c r="DW150" s="105"/>
      <c r="DX150" s="146"/>
      <c r="DY150" s="105"/>
      <c r="DZ150" s="105"/>
      <c r="EA150" s="112"/>
      <c r="EB150" s="113"/>
      <c r="EC150" s="105"/>
      <c r="ED150" s="113"/>
      <c r="EE150" s="113"/>
      <c r="EF150" s="105"/>
      <c r="EG150" s="113"/>
      <c r="EH150" s="113"/>
      <c r="EI150" s="112"/>
      <c r="EJ150" s="113"/>
      <c r="EK150" s="105"/>
      <c r="EL150" s="146"/>
      <c r="EM150" s="72"/>
      <c r="EN150" s="74"/>
      <c r="EO150" s="73"/>
      <c r="EP150" s="72" t="s">
        <v>96</v>
      </c>
      <c r="EQ150" s="72"/>
      <c r="ER150" s="75"/>
      <c r="ES150" s="76"/>
      <c r="ET150" s="77"/>
      <c r="EU150" s="77"/>
      <c r="EV150" s="78"/>
      <c r="EW150" s="72"/>
      <c r="EX150" s="72"/>
      <c r="EY150" s="72"/>
      <c r="EZ150" s="72"/>
      <c r="FA150" s="72"/>
      <c r="FB150" s="78"/>
      <c r="FC150" s="78"/>
      <c r="FD150" s="146"/>
      <c r="FE150" s="78"/>
      <c r="FF150" s="78"/>
      <c r="FG150" s="78"/>
      <c r="FO150" s="146"/>
      <c r="FP150" s="78"/>
      <c r="FQ150" s="78"/>
      <c r="FR150" s="78"/>
    </row>
    <row r="151" spans="1:181" s="71" customFormat="1" ht="16.350000000000001" customHeight="1" x14ac:dyDescent="0.25">
      <c r="A151" s="109"/>
      <c r="B151" s="70"/>
      <c r="C151" s="110"/>
      <c r="D151" s="110">
        <v>1</v>
      </c>
      <c r="E151" s="146"/>
      <c r="F151" s="109" t="str">
        <f>mehrsprachigkeitBegriffsrückgabe(gewählteSpracheZurückgeben(), "Product")</f>
        <v>Produkt</v>
      </c>
      <c r="G151" s="111" t="s">
        <v>264</v>
      </c>
      <c r="H151" s="111"/>
      <c r="I151" s="111" t="s">
        <v>86</v>
      </c>
      <c r="J151" s="111" t="s">
        <v>357</v>
      </c>
      <c r="K151" s="111"/>
      <c r="L151" s="146"/>
      <c r="M151" s="149" t="s">
        <v>392</v>
      </c>
      <c r="N151" s="111" t="s">
        <v>396</v>
      </c>
      <c r="O151" s="114"/>
      <c r="P151" s="114"/>
      <c r="Q151" s="111"/>
      <c r="R151" s="111"/>
      <c r="S151" s="111"/>
      <c r="T151" s="111"/>
      <c r="U151" s="111"/>
      <c r="V151" s="111"/>
      <c r="W151" s="111"/>
      <c r="X151" s="111"/>
      <c r="Y151" s="111"/>
      <c r="Z151" s="111"/>
      <c r="AA151" s="111"/>
      <c r="AB151" s="111"/>
      <c r="AC151" s="111"/>
      <c r="AD151" s="111"/>
      <c r="AE151" s="111"/>
      <c r="AF151" s="111"/>
      <c r="AG151" s="111"/>
      <c r="AH151" s="111"/>
      <c r="AI151" s="111"/>
      <c r="AJ151" s="111"/>
      <c r="AK151" s="111"/>
      <c r="AL151" s="111"/>
      <c r="AM151" s="111"/>
      <c r="AN151" s="111"/>
      <c r="AO151" s="111"/>
      <c r="AP151" s="111"/>
      <c r="AQ151" s="111"/>
      <c r="AR151" s="111"/>
      <c r="AS151" s="111"/>
      <c r="AT151" s="111"/>
      <c r="AU151" s="111"/>
      <c r="AV151" s="111"/>
      <c r="AW151" s="111"/>
      <c r="AX151" s="111"/>
      <c r="AY151" s="111"/>
      <c r="AZ151" s="111"/>
      <c r="BA151" s="146"/>
      <c r="BB151" s="104" t="s">
        <v>98</v>
      </c>
      <c r="BC151" s="72" t="s">
        <v>93</v>
      </c>
      <c r="BD151" s="72" t="s">
        <v>508</v>
      </c>
      <c r="BE151" s="72" t="s">
        <v>413</v>
      </c>
      <c r="BF151" s="146"/>
      <c r="BG151" s="112">
        <v>99.9</v>
      </c>
      <c r="BH151" s="113"/>
      <c r="BI151" s="146"/>
      <c r="BJ151" s="105"/>
      <c r="BK151" s="113"/>
      <c r="BL151" s="113"/>
      <c r="BM151" s="105"/>
      <c r="BN151" s="113"/>
      <c r="BO151" s="152"/>
      <c r="BP151" s="146"/>
      <c r="BQ151" s="112" t="s">
        <v>113</v>
      </c>
      <c r="BR151" s="113"/>
      <c r="BS151" s="105"/>
      <c r="BT151" s="146"/>
      <c r="BU151" s="105"/>
      <c r="BV151" s="105"/>
      <c r="BW151" s="112"/>
      <c r="BX151" s="113"/>
      <c r="BY151" s="105"/>
      <c r="BZ151" s="113"/>
      <c r="CA151" s="113"/>
      <c r="CB151" s="105"/>
      <c r="CC151" s="113"/>
      <c r="CD151" s="152"/>
      <c r="CE151" s="112"/>
      <c r="CF151" s="113"/>
      <c r="CG151" s="105"/>
      <c r="CH151" s="146"/>
      <c r="CI151" s="105"/>
      <c r="CJ151" s="105"/>
      <c r="CK151" s="112"/>
      <c r="CL151" s="113"/>
      <c r="CM151" s="105"/>
      <c r="CN151" s="152"/>
      <c r="CO151" s="152"/>
      <c r="CP151" s="105"/>
      <c r="CQ151" s="113"/>
      <c r="CR151" s="152"/>
      <c r="CS151" s="112"/>
      <c r="CT151" s="113"/>
      <c r="CU151" s="105"/>
      <c r="CV151" s="146"/>
      <c r="CW151" s="105"/>
      <c r="CX151" s="105"/>
      <c r="CY151" s="112"/>
      <c r="CZ151" s="113"/>
      <c r="DA151" s="105"/>
      <c r="DB151" s="113"/>
      <c r="DC151" s="113"/>
      <c r="DD151" s="105"/>
      <c r="DE151" s="113"/>
      <c r="DF151" s="113"/>
      <c r="DG151" s="112"/>
      <c r="DH151" s="113"/>
      <c r="DI151" s="105"/>
      <c r="DJ151" s="146"/>
      <c r="DK151" s="105"/>
      <c r="DL151" s="105"/>
      <c r="DM151" s="112"/>
      <c r="DN151" s="113"/>
      <c r="DO151" s="105"/>
      <c r="DP151" s="113"/>
      <c r="DQ151" s="113"/>
      <c r="DR151" s="105"/>
      <c r="DS151" s="113"/>
      <c r="DT151" s="113"/>
      <c r="DU151" s="112"/>
      <c r="DV151" s="113"/>
      <c r="DW151" s="105"/>
      <c r="DX151" s="146"/>
      <c r="DY151" s="105"/>
      <c r="DZ151" s="105"/>
      <c r="EA151" s="112"/>
      <c r="EB151" s="113"/>
      <c r="EC151" s="105"/>
      <c r="ED151" s="113"/>
      <c r="EE151" s="113"/>
      <c r="EF151" s="105"/>
      <c r="EG151" s="113"/>
      <c r="EH151" s="113"/>
      <c r="EI151" s="112"/>
      <c r="EJ151" s="113"/>
      <c r="EK151" s="105"/>
      <c r="EL151" s="146"/>
      <c r="EM151" s="72" t="s">
        <v>115</v>
      </c>
      <c r="EN151" s="74">
        <v>2250</v>
      </c>
      <c r="EO151" s="73"/>
      <c r="EP151" s="72" t="s">
        <v>77</v>
      </c>
      <c r="EQ151" s="72"/>
      <c r="ER151" s="75"/>
      <c r="ES151" s="76"/>
      <c r="ET151" s="77">
        <v>1</v>
      </c>
      <c r="EU151" s="77"/>
      <c r="EV151" s="78"/>
      <c r="EW151" s="72"/>
      <c r="EX151" s="72"/>
      <c r="EY151" s="72" t="s">
        <v>100</v>
      </c>
      <c r="EZ151" s="72" t="s">
        <v>114</v>
      </c>
      <c r="FA151" s="72"/>
      <c r="FB151" s="78"/>
      <c r="FC151" s="78"/>
      <c r="FD151" s="146"/>
      <c r="FE151" s="78"/>
      <c r="FF151" s="78"/>
      <c r="FG151" s="78"/>
      <c r="FH151" s="78"/>
      <c r="FI151" s="78"/>
      <c r="FJ151" s="78"/>
      <c r="FK151" s="78"/>
      <c r="FL151" s="78"/>
      <c r="FM151" s="78"/>
      <c r="FN151" s="78"/>
      <c r="FO151" s="146"/>
      <c r="FP151" s="78"/>
      <c r="FQ151" s="78"/>
      <c r="FR151" s="78"/>
      <c r="FS151" s="78"/>
      <c r="FT151" s="78"/>
      <c r="FU151" s="78"/>
      <c r="FV151" s="78"/>
      <c r="FW151" s="78"/>
      <c r="FX151" s="78"/>
      <c r="FY151" s="78"/>
    </row>
    <row r="152" spans="1:181" s="71" customFormat="1" ht="16.350000000000001" customHeight="1" x14ac:dyDescent="0.25">
      <c r="A152" s="109"/>
      <c r="B152" s="70"/>
      <c r="C152" s="110"/>
      <c r="D152" s="110"/>
      <c r="E152" s="146"/>
      <c r="F152" s="109" t="str">
        <f>mehrsprachigkeitBegriffsrückgabe(gewählteSpracheZurückgeben(), "Product (foreign language)")</f>
        <v>Produkt (Fremdsprache)</v>
      </c>
      <c r="G152" s="111"/>
      <c r="H152" s="111" t="s">
        <v>264</v>
      </c>
      <c r="I152" s="111" t="s">
        <v>94</v>
      </c>
      <c r="J152" s="111" t="s">
        <v>309</v>
      </c>
      <c r="K152" s="111"/>
      <c r="L152" s="146"/>
      <c r="M152" s="149"/>
      <c r="N152" s="111"/>
      <c r="O152" s="111"/>
      <c r="P152" s="111"/>
      <c r="Q152" s="111"/>
      <c r="R152" s="111"/>
      <c r="S152" s="111"/>
      <c r="T152" s="111"/>
      <c r="U152" s="111"/>
      <c r="V152" s="111"/>
      <c r="W152" s="111"/>
      <c r="X152" s="111"/>
      <c r="Y152" s="111"/>
      <c r="Z152" s="111"/>
      <c r="AA152" s="111"/>
      <c r="AB152" s="111"/>
      <c r="AC152" s="111"/>
      <c r="AD152" s="111"/>
      <c r="AE152" s="111"/>
      <c r="AF152" s="111"/>
      <c r="AG152" s="111"/>
      <c r="AH152" s="111"/>
      <c r="AI152" s="111"/>
      <c r="AJ152" s="111"/>
      <c r="AK152" s="111"/>
      <c r="AL152" s="111"/>
      <c r="AM152" s="111"/>
      <c r="AN152" s="111"/>
      <c r="AO152" s="111"/>
      <c r="AP152" s="111"/>
      <c r="AQ152" s="111"/>
      <c r="AR152" s="111"/>
      <c r="AS152" s="111"/>
      <c r="AT152" s="111"/>
      <c r="AU152" s="111"/>
      <c r="AV152" s="111"/>
      <c r="AW152" s="111"/>
      <c r="AX152" s="111"/>
      <c r="AY152" s="111"/>
      <c r="AZ152" s="111"/>
      <c r="BA152" s="146"/>
      <c r="BB152" s="104" t="s">
        <v>99</v>
      </c>
      <c r="BC152" s="72" t="s">
        <v>95</v>
      </c>
      <c r="BD152" s="72"/>
      <c r="BE152" s="72"/>
      <c r="BF152" s="146"/>
      <c r="BG152" s="112" t="s">
        <v>113</v>
      </c>
      <c r="BH152" s="113"/>
      <c r="BI152" s="146"/>
      <c r="BJ152" s="105"/>
      <c r="BK152" s="113"/>
      <c r="BL152" s="113"/>
      <c r="BM152" s="105"/>
      <c r="BN152" s="113"/>
      <c r="BO152" s="113"/>
      <c r="BP152" s="146"/>
      <c r="BQ152" s="112" t="s">
        <v>113</v>
      </c>
      <c r="BR152" s="113"/>
      <c r="BS152" s="105"/>
      <c r="BT152" s="146"/>
      <c r="BU152" s="105"/>
      <c r="BV152" s="105"/>
      <c r="BW152" s="112"/>
      <c r="BX152" s="113"/>
      <c r="BY152" s="105"/>
      <c r="BZ152" s="113"/>
      <c r="CA152" s="113"/>
      <c r="CB152" s="105"/>
      <c r="CC152" s="113"/>
      <c r="CD152" s="113"/>
      <c r="CE152" s="112"/>
      <c r="CF152" s="113"/>
      <c r="CG152" s="105"/>
      <c r="CH152" s="146"/>
      <c r="CI152" s="105"/>
      <c r="CJ152" s="105"/>
      <c r="CK152" s="112"/>
      <c r="CL152" s="113"/>
      <c r="CM152" s="105"/>
      <c r="CN152" s="113"/>
      <c r="CO152" s="113"/>
      <c r="CP152" s="105"/>
      <c r="CQ152" s="113"/>
      <c r="CR152" s="113"/>
      <c r="CS152" s="112"/>
      <c r="CT152" s="113"/>
      <c r="CU152" s="105"/>
      <c r="CV152" s="146"/>
      <c r="CW152" s="105"/>
      <c r="CX152" s="105"/>
      <c r="CY152" s="112"/>
      <c r="CZ152" s="113"/>
      <c r="DA152" s="105"/>
      <c r="DB152" s="113"/>
      <c r="DC152" s="113"/>
      <c r="DD152" s="105"/>
      <c r="DE152" s="113"/>
      <c r="DF152" s="113"/>
      <c r="DG152" s="112"/>
      <c r="DH152" s="113"/>
      <c r="DI152" s="105"/>
      <c r="DJ152" s="146"/>
      <c r="DK152" s="105"/>
      <c r="DL152" s="105"/>
      <c r="DM152" s="112"/>
      <c r="DN152" s="113"/>
      <c r="DO152" s="105"/>
      <c r="DP152" s="113"/>
      <c r="DQ152" s="113"/>
      <c r="DR152" s="105"/>
      <c r="DS152" s="113"/>
      <c r="DT152" s="113"/>
      <c r="DU152" s="112"/>
      <c r="DV152" s="113"/>
      <c r="DW152" s="105"/>
      <c r="DX152" s="146"/>
      <c r="DY152" s="105"/>
      <c r="DZ152" s="105"/>
      <c r="EA152" s="112"/>
      <c r="EB152" s="113"/>
      <c r="EC152" s="105"/>
      <c r="ED152" s="113"/>
      <c r="EE152" s="113"/>
      <c r="EF152" s="105"/>
      <c r="EG152" s="113"/>
      <c r="EH152" s="113"/>
      <c r="EI152" s="112"/>
      <c r="EJ152" s="113"/>
      <c r="EK152" s="105"/>
      <c r="EL152" s="146"/>
      <c r="EM152" s="72"/>
      <c r="EN152" s="74"/>
      <c r="EO152" s="73"/>
      <c r="EP152" s="72" t="s">
        <v>96</v>
      </c>
      <c r="EQ152" s="72"/>
      <c r="ER152" s="75"/>
      <c r="ES152" s="76"/>
      <c r="ET152" s="77"/>
      <c r="EU152" s="77"/>
      <c r="EV152" s="78"/>
      <c r="EW152" s="72"/>
      <c r="EX152" s="72"/>
      <c r="EY152" s="72"/>
      <c r="EZ152" s="72"/>
      <c r="FA152" s="72"/>
      <c r="FB152" s="78"/>
      <c r="FC152" s="78"/>
      <c r="FD152" s="146"/>
      <c r="FE152" s="78"/>
      <c r="FF152" s="78"/>
      <c r="FG152" s="78"/>
      <c r="FO152" s="146"/>
      <c r="FP152" s="78"/>
      <c r="FQ152" s="78"/>
      <c r="FR152" s="78"/>
    </row>
    <row r="153" spans="1:181" s="71" customFormat="1" ht="16.350000000000001" customHeight="1" x14ac:dyDescent="0.25">
      <c r="A153" s="109"/>
      <c r="B153" s="70"/>
      <c r="C153" s="110"/>
      <c r="D153" s="110">
        <v>1</v>
      </c>
      <c r="E153" s="146"/>
      <c r="F153" s="109" t="str">
        <f>mehrsprachigkeitBegriffsrückgabe(gewählteSpracheZurückgeben(), "Product")</f>
        <v>Produkt</v>
      </c>
      <c r="G153" s="111" t="s">
        <v>265</v>
      </c>
      <c r="H153" s="111"/>
      <c r="I153" s="111" t="s">
        <v>86</v>
      </c>
      <c r="J153" s="111" t="s">
        <v>358</v>
      </c>
      <c r="K153" s="111"/>
      <c r="L153" s="146"/>
      <c r="M153" s="149" t="s">
        <v>392</v>
      </c>
      <c r="N153" s="111" t="s">
        <v>396</v>
      </c>
      <c r="O153" s="114"/>
      <c r="P153" s="114"/>
      <c r="Q153" s="111"/>
      <c r="R153" s="111"/>
      <c r="S153" s="111"/>
      <c r="T153" s="111"/>
      <c r="U153" s="111"/>
      <c r="V153" s="111"/>
      <c r="W153" s="111"/>
      <c r="X153" s="111"/>
      <c r="Y153" s="111"/>
      <c r="Z153" s="111"/>
      <c r="AA153" s="111"/>
      <c r="AB153" s="111"/>
      <c r="AC153" s="111"/>
      <c r="AD153" s="111"/>
      <c r="AE153" s="111"/>
      <c r="AF153" s="111"/>
      <c r="AG153" s="111"/>
      <c r="AH153" s="111"/>
      <c r="AI153" s="111"/>
      <c r="AJ153" s="111"/>
      <c r="AK153" s="111"/>
      <c r="AL153" s="111"/>
      <c r="AM153" s="111"/>
      <c r="AN153" s="111"/>
      <c r="AO153" s="111"/>
      <c r="AP153" s="111"/>
      <c r="AQ153" s="111"/>
      <c r="AR153" s="111"/>
      <c r="AS153" s="111"/>
      <c r="AT153" s="111"/>
      <c r="AU153" s="111"/>
      <c r="AV153" s="111"/>
      <c r="AW153" s="111"/>
      <c r="AX153" s="111"/>
      <c r="AY153" s="111"/>
      <c r="AZ153" s="111"/>
      <c r="BA153" s="146"/>
      <c r="BB153" s="104" t="s">
        <v>98</v>
      </c>
      <c r="BC153" s="72" t="s">
        <v>93</v>
      </c>
      <c r="BD153" s="72" t="s">
        <v>508</v>
      </c>
      <c r="BE153" s="72" t="s">
        <v>416</v>
      </c>
      <c r="BF153" s="146"/>
      <c r="BG153" s="112">
        <v>89.9</v>
      </c>
      <c r="BH153" s="113"/>
      <c r="BI153" s="146"/>
      <c r="BJ153" s="105"/>
      <c r="BK153" s="113"/>
      <c r="BL153" s="113"/>
      <c r="BM153" s="105"/>
      <c r="BN153" s="113"/>
      <c r="BO153" s="152"/>
      <c r="BP153" s="146"/>
      <c r="BQ153" s="112" t="s">
        <v>113</v>
      </c>
      <c r="BR153" s="113"/>
      <c r="BS153" s="105"/>
      <c r="BT153" s="146"/>
      <c r="BU153" s="105"/>
      <c r="BV153" s="105"/>
      <c r="BW153" s="112"/>
      <c r="BX153" s="113"/>
      <c r="BY153" s="105"/>
      <c r="BZ153" s="113"/>
      <c r="CA153" s="113"/>
      <c r="CB153" s="105"/>
      <c r="CC153" s="113"/>
      <c r="CD153" s="152"/>
      <c r="CE153" s="112"/>
      <c r="CF153" s="113"/>
      <c r="CG153" s="105"/>
      <c r="CH153" s="146"/>
      <c r="CI153" s="105"/>
      <c r="CJ153" s="105"/>
      <c r="CK153" s="112"/>
      <c r="CL153" s="113"/>
      <c r="CM153" s="105"/>
      <c r="CN153" s="152"/>
      <c r="CO153" s="152"/>
      <c r="CP153" s="105"/>
      <c r="CQ153" s="113"/>
      <c r="CR153" s="152"/>
      <c r="CS153" s="112"/>
      <c r="CT153" s="113"/>
      <c r="CU153" s="105"/>
      <c r="CV153" s="146"/>
      <c r="CW153" s="105"/>
      <c r="CX153" s="105"/>
      <c r="CY153" s="112"/>
      <c r="CZ153" s="113"/>
      <c r="DA153" s="105"/>
      <c r="DB153" s="113"/>
      <c r="DC153" s="113"/>
      <c r="DD153" s="105"/>
      <c r="DE153" s="113"/>
      <c r="DF153" s="113"/>
      <c r="DG153" s="112"/>
      <c r="DH153" s="113"/>
      <c r="DI153" s="105"/>
      <c r="DJ153" s="146"/>
      <c r="DK153" s="105"/>
      <c r="DL153" s="105"/>
      <c r="DM153" s="112"/>
      <c r="DN153" s="113"/>
      <c r="DO153" s="105"/>
      <c r="DP153" s="113"/>
      <c r="DQ153" s="113"/>
      <c r="DR153" s="105"/>
      <c r="DS153" s="113"/>
      <c r="DT153" s="113"/>
      <c r="DU153" s="112"/>
      <c r="DV153" s="113"/>
      <c r="DW153" s="105"/>
      <c r="DX153" s="146"/>
      <c r="DY153" s="105"/>
      <c r="DZ153" s="105"/>
      <c r="EA153" s="112"/>
      <c r="EB153" s="113"/>
      <c r="EC153" s="105"/>
      <c r="ED153" s="113"/>
      <c r="EE153" s="113"/>
      <c r="EF153" s="105"/>
      <c r="EG153" s="113"/>
      <c r="EH153" s="113"/>
      <c r="EI153" s="112"/>
      <c r="EJ153" s="113"/>
      <c r="EK153" s="105"/>
      <c r="EL153" s="146"/>
      <c r="EM153" s="72" t="s">
        <v>115</v>
      </c>
      <c r="EN153" s="74">
        <v>2250</v>
      </c>
      <c r="EO153" s="73"/>
      <c r="EP153" s="72" t="s">
        <v>77</v>
      </c>
      <c r="EQ153" s="72"/>
      <c r="ER153" s="75"/>
      <c r="ES153" s="76"/>
      <c r="ET153" s="77">
        <v>1</v>
      </c>
      <c r="EU153" s="77"/>
      <c r="EV153" s="78"/>
      <c r="EW153" s="72"/>
      <c r="EX153" s="72"/>
      <c r="EY153" s="72" t="s">
        <v>100</v>
      </c>
      <c r="EZ153" s="72" t="s">
        <v>114</v>
      </c>
      <c r="FA153" s="72"/>
      <c r="FB153" s="78"/>
      <c r="FC153" s="78"/>
      <c r="FD153" s="146"/>
      <c r="FE153" s="78"/>
      <c r="FF153" s="78"/>
      <c r="FG153" s="78"/>
      <c r="FH153" s="78"/>
      <c r="FI153" s="78"/>
      <c r="FJ153" s="78"/>
      <c r="FK153" s="78"/>
      <c r="FL153" s="78"/>
      <c r="FM153" s="78"/>
      <c r="FN153" s="78"/>
      <c r="FO153" s="146"/>
      <c r="FP153" s="78"/>
      <c r="FQ153" s="78"/>
      <c r="FR153" s="78"/>
      <c r="FS153" s="78"/>
      <c r="FT153" s="78"/>
      <c r="FU153" s="78"/>
      <c r="FV153" s="78"/>
      <c r="FW153" s="78"/>
      <c r="FX153" s="78"/>
      <c r="FY153" s="78"/>
    </row>
    <row r="154" spans="1:181" s="71" customFormat="1" ht="16.350000000000001" customHeight="1" x14ac:dyDescent="0.25">
      <c r="A154" s="109"/>
      <c r="B154" s="70"/>
      <c r="C154" s="110"/>
      <c r="D154" s="110"/>
      <c r="E154" s="146"/>
      <c r="F154" s="109" t="str">
        <f>mehrsprachigkeitBegriffsrückgabe(gewählteSpracheZurückgeben(), "Product (foreign language)")</f>
        <v>Produkt (Fremdsprache)</v>
      </c>
      <c r="G154" s="111"/>
      <c r="H154" s="111" t="s">
        <v>265</v>
      </c>
      <c r="I154" s="111" t="s">
        <v>94</v>
      </c>
      <c r="J154" s="111" t="s">
        <v>310</v>
      </c>
      <c r="K154" s="111"/>
      <c r="L154" s="146"/>
      <c r="M154" s="149"/>
      <c r="N154" s="111"/>
      <c r="O154" s="111"/>
      <c r="P154" s="111"/>
      <c r="Q154" s="111"/>
      <c r="R154" s="111"/>
      <c r="S154" s="111"/>
      <c r="T154" s="111"/>
      <c r="U154" s="111"/>
      <c r="V154" s="111"/>
      <c r="W154" s="111"/>
      <c r="X154" s="111"/>
      <c r="Y154" s="111"/>
      <c r="Z154" s="111"/>
      <c r="AA154" s="111"/>
      <c r="AB154" s="111"/>
      <c r="AC154" s="111"/>
      <c r="AD154" s="111"/>
      <c r="AE154" s="111"/>
      <c r="AF154" s="111"/>
      <c r="AG154" s="111"/>
      <c r="AH154" s="111"/>
      <c r="AI154" s="111"/>
      <c r="AJ154" s="111"/>
      <c r="AK154" s="111"/>
      <c r="AL154" s="111"/>
      <c r="AM154" s="111"/>
      <c r="AN154" s="111"/>
      <c r="AO154" s="111"/>
      <c r="AP154" s="111"/>
      <c r="AQ154" s="111"/>
      <c r="AR154" s="111"/>
      <c r="AS154" s="111"/>
      <c r="AT154" s="111"/>
      <c r="AU154" s="111"/>
      <c r="AV154" s="111"/>
      <c r="AW154" s="111"/>
      <c r="AX154" s="111"/>
      <c r="AY154" s="111"/>
      <c r="AZ154" s="111"/>
      <c r="BA154" s="146"/>
      <c r="BB154" s="104" t="s">
        <v>99</v>
      </c>
      <c r="BC154" s="72" t="s">
        <v>95</v>
      </c>
      <c r="BD154" s="72"/>
      <c r="BE154" s="72"/>
      <c r="BF154" s="146"/>
      <c r="BG154" s="112" t="s">
        <v>113</v>
      </c>
      <c r="BH154" s="113"/>
      <c r="BI154" s="146"/>
      <c r="BJ154" s="105"/>
      <c r="BK154" s="113"/>
      <c r="BL154" s="113"/>
      <c r="BM154" s="105"/>
      <c r="BN154" s="113"/>
      <c r="BO154" s="113"/>
      <c r="BP154" s="146"/>
      <c r="BQ154" s="112" t="s">
        <v>113</v>
      </c>
      <c r="BR154" s="113"/>
      <c r="BS154" s="105"/>
      <c r="BT154" s="146"/>
      <c r="BU154" s="105"/>
      <c r="BV154" s="105"/>
      <c r="BW154" s="112"/>
      <c r="BX154" s="113"/>
      <c r="BY154" s="105"/>
      <c r="BZ154" s="113"/>
      <c r="CA154" s="113"/>
      <c r="CB154" s="105"/>
      <c r="CC154" s="113"/>
      <c r="CD154" s="113"/>
      <c r="CE154" s="112"/>
      <c r="CF154" s="113"/>
      <c r="CG154" s="105"/>
      <c r="CH154" s="146"/>
      <c r="CI154" s="105"/>
      <c r="CJ154" s="105"/>
      <c r="CK154" s="112"/>
      <c r="CL154" s="113"/>
      <c r="CM154" s="105"/>
      <c r="CN154" s="113"/>
      <c r="CO154" s="113"/>
      <c r="CP154" s="105"/>
      <c r="CQ154" s="113"/>
      <c r="CR154" s="113"/>
      <c r="CS154" s="112"/>
      <c r="CT154" s="113"/>
      <c r="CU154" s="105"/>
      <c r="CV154" s="146"/>
      <c r="CW154" s="105"/>
      <c r="CX154" s="105"/>
      <c r="CY154" s="112"/>
      <c r="CZ154" s="113"/>
      <c r="DA154" s="105"/>
      <c r="DB154" s="113"/>
      <c r="DC154" s="113"/>
      <c r="DD154" s="105"/>
      <c r="DE154" s="113"/>
      <c r="DF154" s="113"/>
      <c r="DG154" s="112"/>
      <c r="DH154" s="113"/>
      <c r="DI154" s="105"/>
      <c r="DJ154" s="146"/>
      <c r="DK154" s="105"/>
      <c r="DL154" s="105"/>
      <c r="DM154" s="112"/>
      <c r="DN154" s="113"/>
      <c r="DO154" s="105"/>
      <c r="DP154" s="113"/>
      <c r="DQ154" s="113"/>
      <c r="DR154" s="105"/>
      <c r="DS154" s="113"/>
      <c r="DT154" s="113"/>
      <c r="DU154" s="112"/>
      <c r="DV154" s="113"/>
      <c r="DW154" s="105"/>
      <c r="DX154" s="146"/>
      <c r="DY154" s="105"/>
      <c r="DZ154" s="105"/>
      <c r="EA154" s="112"/>
      <c r="EB154" s="113"/>
      <c r="EC154" s="105"/>
      <c r="ED154" s="113"/>
      <c r="EE154" s="113"/>
      <c r="EF154" s="105"/>
      <c r="EG154" s="113"/>
      <c r="EH154" s="113"/>
      <c r="EI154" s="112"/>
      <c r="EJ154" s="113"/>
      <c r="EK154" s="105"/>
      <c r="EL154" s="146"/>
      <c r="EM154" s="72"/>
      <c r="EN154" s="74"/>
      <c r="EO154" s="73"/>
      <c r="EP154" s="72" t="s">
        <v>96</v>
      </c>
      <c r="EQ154" s="72"/>
      <c r="ER154" s="75"/>
      <c r="ES154" s="76"/>
      <c r="ET154" s="77"/>
      <c r="EU154" s="77"/>
      <c r="EV154" s="78"/>
      <c r="EW154" s="72"/>
      <c r="EX154" s="72"/>
      <c r="EY154" s="72"/>
      <c r="EZ154" s="72"/>
      <c r="FA154" s="72"/>
      <c r="FB154" s="78"/>
      <c r="FC154" s="78"/>
      <c r="FD154" s="146"/>
      <c r="FE154" s="78"/>
      <c r="FF154" s="78"/>
      <c r="FG154" s="78"/>
      <c r="FO154" s="146"/>
      <c r="FP154" s="78"/>
      <c r="FQ154" s="78"/>
      <c r="FR154" s="78"/>
    </row>
    <row r="155" spans="1:181" s="71" customFormat="1" ht="16.350000000000001" customHeight="1" x14ac:dyDescent="0.25">
      <c r="A155" s="109"/>
      <c r="B155" s="70"/>
      <c r="C155" s="110"/>
      <c r="D155" s="110">
        <v>1</v>
      </c>
      <c r="E155" s="146"/>
      <c r="F155" s="109" t="str">
        <f>mehrsprachigkeitBegriffsrückgabe(gewählteSpracheZurückgeben(), "Product")</f>
        <v>Produkt</v>
      </c>
      <c r="G155" s="111" t="s">
        <v>266</v>
      </c>
      <c r="H155" s="111"/>
      <c r="I155" s="111" t="s">
        <v>86</v>
      </c>
      <c r="J155" s="111" t="s">
        <v>359</v>
      </c>
      <c r="K155" s="111"/>
      <c r="L155" s="146"/>
      <c r="M155" s="149" t="s">
        <v>392</v>
      </c>
      <c r="N155" s="111" t="s">
        <v>398</v>
      </c>
      <c r="O155" s="114" t="s">
        <v>392</v>
      </c>
      <c r="P155" s="114" t="s">
        <v>393</v>
      </c>
      <c r="Q155" s="111"/>
      <c r="R155" s="111"/>
      <c r="S155" s="111"/>
      <c r="T155" s="111"/>
      <c r="U155" s="111"/>
      <c r="V155" s="111"/>
      <c r="W155" s="111"/>
      <c r="X155" s="111"/>
      <c r="Y155" s="111"/>
      <c r="Z155" s="111"/>
      <c r="AA155" s="111"/>
      <c r="AB155" s="111"/>
      <c r="AC155" s="111"/>
      <c r="AD155" s="111"/>
      <c r="AE155" s="111"/>
      <c r="AF155" s="111"/>
      <c r="AG155" s="111"/>
      <c r="AH155" s="111"/>
      <c r="AI155" s="111"/>
      <c r="AJ155" s="111"/>
      <c r="AK155" s="111"/>
      <c r="AL155" s="111"/>
      <c r="AM155" s="111"/>
      <c r="AN155" s="111"/>
      <c r="AO155" s="111"/>
      <c r="AP155" s="111"/>
      <c r="AQ155" s="111"/>
      <c r="AR155" s="111"/>
      <c r="AS155" s="111"/>
      <c r="AT155" s="111"/>
      <c r="AU155" s="111"/>
      <c r="AV155" s="111"/>
      <c r="AW155" s="111"/>
      <c r="AX155" s="111"/>
      <c r="AY155" s="111"/>
      <c r="AZ155" s="111"/>
      <c r="BA155" s="146"/>
      <c r="BB155" s="104" t="s">
        <v>98</v>
      </c>
      <c r="BC155" s="72" t="s">
        <v>93</v>
      </c>
      <c r="BD155" s="72" t="s">
        <v>508</v>
      </c>
      <c r="BE155" s="72" t="s">
        <v>416</v>
      </c>
      <c r="BF155" s="146"/>
      <c r="BG155" s="112">
        <v>74.900000000000006</v>
      </c>
      <c r="BH155" s="113"/>
      <c r="BI155" s="146"/>
      <c r="BJ155" s="105"/>
      <c r="BK155" s="113"/>
      <c r="BL155" s="113"/>
      <c r="BM155" s="105"/>
      <c r="BN155" s="113"/>
      <c r="BO155" s="152"/>
      <c r="BP155" s="146"/>
      <c r="BQ155" s="112">
        <v>89.9</v>
      </c>
      <c r="BR155" s="113"/>
      <c r="BS155" s="105">
        <v>1</v>
      </c>
      <c r="BT155" s="146"/>
      <c r="BU155" s="105"/>
      <c r="BV155" s="105"/>
      <c r="BW155" s="112"/>
      <c r="BX155" s="113"/>
      <c r="BY155" s="105"/>
      <c r="BZ155" s="113"/>
      <c r="CA155" s="113"/>
      <c r="CB155" s="105"/>
      <c r="CC155" s="113"/>
      <c r="CD155" s="152"/>
      <c r="CE155" s="112"/>
      <c r="CF155" s="113"/>
      <c r="CG155" s="105"/>
      <c r="CH155" s="146"/>
      <c r="CI155" s="105"/>
      <c r="CJ155" s="105"/>
      <c r="CK155" s="112"/>
      <c r="CL155" s="113"/>
      <c r="CM155" s="105"/>
      <c r="CN155" s="152"/>
      <c r="CO155" s="152"/>
      <c r="CP155" s="105"/>
      <c r="CQ155" s="113"/>
      <c r="CR155" s="152"/>
      <c r="CS155" s="112"/>
      <c r="CT155" s="113"/>
      <c r="CU155" s="105"/>
      <c r="CV155" s="146"/>
      <c r="CW155" s="105"/>
      <c r="CX155" s="105"/>
      <c r="CY155" s="112"/>
      <c r="CZ155" s="113"/>
      <c r="DA155" s="105"/>
      <c r="DB155" s="113"/>
      <c r="DC155" s="113"/>
      <c r="DD155" s="105"/>
      <c r="DE155" s="113"/>
      <c r="DF155" s="113"/>
      <c r="DG155" s="112"/>
      <c r="DH155" s="113"/>
      <c r="DI155" s="105"/>
      <c r="DJ155" s="146"/>
      <c r="DK155" s="105"/>
      <c r="DL155" s="105"/>
      <c r="DM155" s="112"/>
      <c r="DN155" s="113"/>
      <c r="DO155" s="105"/>
      <c r="DP155" s="113"/>
      <c r="DQ155" s="113"/>
      <c r="DR155" s="105"/>
      <c r="DS155" s="113"/>
      <c r="DT155" s="113"/>
      <c r="DU155" s="112"/>
      <c r="DV155" s="113"/>
      <c r="DW155" s="105"/>
      <c r="DX155" s="146"/>
      <c r="DY155" s="105"/>
      <c r="DZ155" s="105"/>
      <c r="EA155" s="112"/>
      <c r="EB155" s="113"/>
      <c r="EC155" s="105"/>
      <c r="ED155" s="113"/>
      <c r="EE155" s="113"/>
      <c r="EF155" s="105"/>
      <c r="EG155" s="113"/>
      <c r="EH155" s="113"/>
      <c r="EI155" s="112"/>
      <c r="EJ155" s="113"/>
      <c r="EK155" s="105"/>
      <c r="EL155" s="146"/>
      <c r="EM155" s="72" t="s">
        <v>115</v>
      </c>
      <c r="EN155" s="74">
        <v>2250</v>
      </c>
      <c r="EO155" s="73"/>
      <c r="EP155" s="72" t="s">
        <v>77</v>
      </c>
      <c r="EQ155" s="72"/>
      <c r="ER155" s="75"/>
      <c r="ES155" s="76"/>
      <c r="ET155" s="77"/>
      <c r="EU155" s="77">
        <v>1</v>
      </c>
      <c r="EV155" s="78"/>
      <c r="EW155" s="72"/>
      <c r="EX155" s="72"/>
      <c r="EY155" s="72" t="s">
        <v>100</v>
      </c>
      <c r="EZ155" s="72" t="s">
        <v>114</v>
      </c>
      <c r="FA155" s="72"/>
      <c r="FB155" s="78"/>
      <c r="FC155" s="78"/>
      <c r="FD155" s="146"/>
      <c r="FE155" s="78"/>
      <c r="FF155" s="78"/>
      <c r="FG155" s="78"/>
      <c r="FH155" s="78"/>
      <c r="FI155" s="78"/>
      <c r="FJ155" s="78"/>
      <c r="FK155" s="78"/>
      <c r="FL155" s="78"/>
      <c r="FM155" s="78"/>
      <c r="FN155" s="78"/>
      <c r="FO155" s="146"/>
      <c r="FP155" s="78"/>
      <c r="FQ155" s="78"/>
      <c r="FR155" s="78"/>
      <c r="FS155" s="78"/>
      <c r="FT155" s="78"/>
      <c r="FU155" s="78"/>
      <c r="FV155" s="78"/>
      <c r="FW155" s="78"/>
      <c r="FX155" s="78"/>
      <c r="FY155" s="78"/>
    </row>
    <row r="156" spans="1:181" s="71" customFormat="1" ht="16.350000000000001" customHeight="1" x14ac:dyDescent="0.25">
      <c r="A156" s="109"/>
      <c r="B156" s="70"/>
      <c r="C156" s="110"/>
      <c r="D156" s="110"/>
      <c r="E156" s="146"/>
      <c r="F156" s="109" t="str">
        <f>mehrsprachigkeitBegriffsrückgabe(gewählteSpracheZurückgeben(), "Product (foreign language)")</f>
        <v>Produkt (Fremdsprache)</v>
      </c>
      <c r="G156" s="111"/>
      <c r="H156" s="111" t="s">
        <v>266</v>
      </c>
      <c r="I156" s="111" t="s">
        <v>94</v>
      </c>
      <c r="J156" s="111" t="s">
        <v>311</v>
      </c>
      <c r="K156" s="111"/>
      <c r="L156" s="146"/>
      <c r="M156" s="149"/>
      <c r="N156" s="111"/>
      <c r="O156" s="111"/>
      <c r="P156" s="111"/>
      <c r="Q156" s="111"/>
      <c r="R156" s="111"/>
      <c r="S156" s="111"/>
      <c r="T156" s="111"/>
      <c r="U156" s="111"/>
      <c r="V156" s="111"/>
      <c r="W156" s="111"/>
      <c r="X156" s="111"/>
      <c r="Y156" s="111"/>
      <c r="Z156" s="111"/>
      <c r="AA156" s="111"/>
      <c r="AB156" s="111"/>
      <c r="AC156" s="111"/>
      <c r="AD156" s="111"/>
      <c r="AE156" s="111"/>
      <c r="AF156" s="111"/>
      <c r="AG156" s="111"/>
      <c r="AH156" s="111"/>
      <c r="AI156" s="111"/>
      <c r="AJ156" s="111"/>
      <c r="AK156" s="111"/>
      <c r="AL156" s="111"/>
      <c r="AM156" s="111"/>
      <c r="AN156" s="111"/>
      <c r="AO156" s="111"/>
      <c r="AP156" s="111"/>
      <c r="AQ156" s="111"/>
      <c r="AR156" s="111"/>
      <c r="AS156" s="111"/>
      <c r="AT156" s="111"/>
      <c r="AU156" s="111"/>
      <c r="AV156" s="111"/>
      <c r="AW156" s="111"/>
      <c r="AX156" s="111"/>
      <c r="AY156" s="111"/>
      <c r="AZ156" s="111"/>
      <c r="BA156" s="146"/>
      <c r="BB156" s="104" t="s">
        <v>99</v>
      </c>
      <c r="BC156" s="72" t="s">
        <v>95</v>
      </c>
      <c r="BD156" s="72"/>
      <c r="BE156" s="72"/>
      <c r="BF156" s="146"/>
      <c r="BG156" s="112" t="s">
        <v>113</v>
      </c>
      <c r="BH156" s="113"/>
      <c r="BI156" s="146"/>
      <c r="BJ156" s="105"/>
      <c r="BK156" s="113"/>
      <c r="BL156" s="113"/>
      <c r="BM156" s="105"/>
      <c r="BN156" s="113"/>
      <c r="BO156" s="113"/>
      <c r="BP156" s="146"/>
      <c r="BQ156" s="112" t="s">
        <v>113</v>
      </c>
      <c r="BR156" s="113"/>
      <c r="BS156" s="105"/>
      <c r="BT156" s="146"/>
      <c r="BU156" s="105"/>
      <c r="BV156" s="105"/>
      <c r="BW156" s="112"/>
      <c r="BX156" s="113"/>
      <c r="BY156" s="105"/>
      <c r="BZ156" s="113"/>
      <c r="CA156" s="113"/>
      <c r="CB156" s="105"/>
      <c r="CC156" s="113"/>
      <c r="CD156" s="113"/>
      <c r="CE156" s="112"/>
      <c r="CF156" s="113"/>
      <c r="CG156" s="105"/>
      <c r="CH156" s="146"/>
      <c r="CI156" s="105"/>
      <c r="CJ156" s="105"/>
      <c r="CK156" s="112"/>
      <c r="CL156" s="113"/>
      <c r="CM156" s="105"/>
      <c r="CN156" s="113"/>
      <c r="CO156" s="113"/>
      <c r="CP156" s="105"/>
      <c r="CQ156" s="113"/>
      <c r="CR156" s="113"/>
      <c r="CS156" s="112"/>
      <c r="CT156" s="113"/>
      <c r="CU156" s="105"/>
      <c r="CV156" s="146"/>
      <c r="CW156" s="105"/>
      <c r="CX156" s="105"/>
      <c r="CY156" s="112"/>
      <c r="CZ156" s="113"/>
      <c r="DA156" s="105"/>
      <c r="DB156" s="113"/>
      <c r="DC156" s="113"/>
      <c r="DD156" s="105"/>
      <c r="DE156" s="113"/>
      <c r="DF156" s="113"/>
      <c r="DG156" s="112"/>
      <c r="DH156" s="113"/>
      <c r="DI156" s="105"/>
      <c r="DJ156" s="146"/>
      <c r="DK156" s="105"/>
      <c r="DL156" s="105"/>
      <c r="DM156" s="112"/>
      <c r="DN156" s="113"/>
      <c r="DO156" s="105"/>
      <c r="DP156" s="113"/>
      <c r="DQ156" s="113"/>
      <c r="DR156" s="105"/>
      <c r="DS156" s="113"/>
      <c r="DT156" s="113"/>
      <c r="DU156" s="112"/>
      <c r="DV156" s="113"/>
      <c r="DW156" s="105"/>
      <c r="DX156" s="146"/>
      <c r="DY156" s="105"/>
      <c r="DZ156" s="105"/>
      <c r="EA156" s="112"/>
      <c r="EB156" s="113"/>
      <c r="EC156" s="105"/>
      <c r="ED156" s="113"/>
      <c r="EE156" s="113"/>
      <c r="EF156" s="105"/>
      <c r="EG156" s="113"/>
      <c r="EH156" s="113"/>
      <c r="EI156" s="112"/>
      <c r="EJ156" s="113"/>
      <c r="EK156" s="105"/>
      <c r="EL156" s="146"/>
      <c r="EM156" s="72"/>
      <c r="EN156" s="74"/>
      <c r="EO156" s="73"/>
      <c r="EP156" s="72" t="s">
        <v>96</v>
      </c>
      <c r="EQ156" s="72"/>
      <c r="ER156" s="75"/>
      <c r="ES156" s="76"/>
      <c r="ET156" s="77"/>
      <c r="EU156" s="77"/>
      <c r="EV156" s="78"/>
      <c r="EW156" s="72"/>
      <c r="EX156" s="72"/>
      <c r="EY156" s="72"/>
      <c r="EZ156" s="72"/>
      <c r="FA156" s="72"/>
      <c r="FB156" s="78"/>
      <c r="FC156" s="78"/>
      <c r="FD156" s="146"/>
      <c r="FE156" s="78"/>
      <c r="FF156" s="78"/>
      <c r="FG156" s="78"/>
      <c r="FO156" s="146"/>
      <c r="FP156" s="78"/>
      <c r="FQ156" s="78"/>
      <c r="FR156" s="78"/>
    </row>
    <row r="157" spans="1:181" s="71" customFormat="1" ht="16.350000000000001" customHeight="1" x14ac:dyDescent="0.25">
      <c r="A157" s="109"/>
      <c r="B157" s="70"/>
      <c r="C157" s="110"/>
      <c r="D157" s="110">
        <v>1</v>
      </c>
      <c r="E157" s="146"/>
      <c r="F157" s="109" t="str">
        <f>mehrsprachigkeitBegriffsrückgabe(gewählteSpracheZurückgeben(), "Product")</f>
        <v>Produkt</v>
      </c>
      <c r="G157" s="111" t="s">
        <v>267</v>
      </c>
      <c r="H157" s="111"/>
      <c r="I157" s="111" t="s">
        <v>86</v>
      </c>
      <c r="J157" s="111" t="s">
        <v>360</v>
      </c>
      <c r="K157" s="111"/>
      <c r="L157" s="146"/>
      <c r="M157" s="149" t="s">
        <v>392</v>
      </c>
      <c r="N157" s="111" t="s">
        <v>399</v>
      </c>
      <c r="O157" s="114"/>
      <c r="P157" s="114"/>
      <c r="Q157" s="111"/>
      <c r="R157" s="111"/>
      <c r="S157" s="111"/>
      <c r="T157" s="111"/>
      <c r="U157" s="111"/>
      <c r="V157" s="111"/>
      <c r="W157" s="111"/>
      <c r="X157" s="111"/>
      <c r="Y157" s="111"/>
      <c r="Z157" s="111"/>
      <c r="AA157" s="111"/>
      <c r="AB157" s="111"/>
      <c r="AC157" s="111"/>
      <c r="AD157" s="111"/>
      <c r="AE157" s="111"/>
      <c r="AF157" s="111"/>
      <c r="AG157" s="111"/>
      <c r="AH157" s="111"/>
      <c r="AI157" s="111"/>
      <c r="AJ157" s="111"/>
      <c r="AK157" s="111"/>
      <c r="AL157" s="111"/>
      <c r="AM157" s="111"/>
      <c r="AN157" s="111"/>
      <c r="AO157" s="111"/>
      <c r="AP157" s="111"/>
      <c r="AQ157" s="111"/>
      <c r="AR157" s="111"/>
      <c r="AS157" s="111"/>
      <c r="AT157" s="111"/>
      <c r="AU157" s="111"/>
      <c r="AV157" s="111"/>
      <c r="AW157" s="111"/>
      <c r="AX157" s="111"/>
      <c r="AY157" s="111"/>
      <c r="AZ157" s="111"/>
      <c r="BA157" s="146"/>
      <c r="BB157" s="104" t="s">
        <v>98</v>
      </c>
      <c r="BC157" s="72" t="s">
        <v>93</v>
      </c>
      <c r="BD157" s="72" t="s">
        <v>508</v>
      </c>
      <c r="BE157" s="72" t="s">
        <v>417</v>
      </c>
      <c r="BF157" s="146"/>
      <c r="BG157" s="112">
        <v>69.900000000000006</v>
      </c>
      <c r="BH157" s="113"/>
      <c r="BI157" s="146"/>
      <c r="BJ157" s="105"/>
      <c r="BK157" s="113"/>
      <c r="BL157" s="113"/>
      <c r="BM157" s="105"/>
      <c r="BN157" s="113"/>
      <c r="BO157" s="152"/>
      <c r="BP157" s="146"/>
      <c r="BQ157" s="112" t="s">
        <v>113</v>
      </c>
      <c r="BR157" s="113"/>
      <c r="BS157" s="105"/>
      <c r="BT157" s="146"/>
      <c r="BU157" s="105"/>
      <c r="BV157" s="105"/>
      <c r="BW157" s="112"/>
      <c r="BX157" s="113"/>
      <c r="BY157" s="105"/>
      <c r="BZ157" s="113"/>
      <c r="CA157" s="113"/>
      <c r="CB157" s="105"/>
      <c r="CC157" s="113"/>
      <c r="CD157" s="152"/>
      <c r="CE157" s="112"/>
      <c r="CF157" s="113"/>
      <c r="CG157" s="105"/>
      <c r="CH157" s="146"/>
      <c r="CI157" s="105"/>
      <c r="CJ157" s="105"/>
      <c r="CK157" s="112"/>
      <c r="CL157" s="113"/>
      <c r="CM157" s="105"/>
      <c r="CN157" s="152"/>
      <c r="CO157" s="152"/>
      <c r="CP157" s="105"/>
      <c r="CQ157" s="113"/>
      <c r="CR157" s="152"/>
      <c r="CS157" s="112"/>
      <c r="CT157" s="113"/>
      <c r="CU157" s="105"/>
      <c r="CV157" s="146"/>
      <c r="CW157" s="105"/>
      <c r="CX157" s="105"/>
      <c r="CY157" s="112"/>
      <c r="CZ157" s="113"/>
      <c r="DA157" s="105"/>
      <c r="DB157" s="113"/>
      <c r="DC157" s="113"/>
      <c r="DD157" s="105"/>
      <c r="DE157" s="113"/>
      <c r="DF157" s="113"/>
      <c r="DG157" s="112"/>
      <c r="DH157" s="113"/>
      <c r="DI157" s="105"/>
      <c r="DJ157" s="146"/>
      <c r="DK157" s="105"/>
      <c r="DL157" s="105"/>
      <c r="DM157" s="112"/>
      <c r="DN157" s="113"/>
      <c r="DO157" s="105"/>
      <c r="DP157" s="113"/>
      <c r="DQ157" s="113"/>
      <c r="DR157" s="105"/>
      <c r="DS157" s="113"/>
      <c r="DT157" s="113"/>
      <c r="DU157" s="112"/>
      <c r="DV157" s="113"/>
      <c r="DW157" s="105"/>
      <c r="DX157" s="146"/>
      <c r="DY157" s="105"/>
      <c r="DZ157" s="105"/>
      <c r="EA157" s="112"/>
      <c r="EB157" s="113"/>
      <c r="EC157" s="105"/>
      <c r="ED157" s="113"/>
      <c r="EE157" s="113"/>
      <c r="EF157" s="105"/>
      <c r="EG157" s="113"/>
      <c r="EH157" s="113"/>
      <c r="EI157" s="112"/>
      <c r="EJ157" s="113"/>
      <c r="EK157" s="105"/>
      <c r="EL157" s="146"/>
      <c r="EM157" s="72" t="s">
        <v>115</v>
      </c>
      <c r="EN157" s="74">
        <v>2250</v>
      </c>
      <c r="EO157" s="73"/>
      <c r="EP157" s="72" t="s">
        <v>77</v>
      </c>
      <c r="EQ157" s="72"/>
      <c r="ER157" s="75"/>
      <c r="ES157" s="76"/>
      <c r="ET157" s="77"/>
      <c r="EU157" s="77"/>
      <c r="EV157" s="78"/>
      <c r="EW157" s="72"/>
      <c r="EX157" s="72"/>
      <c r="EY157" s="72" t="s">
        <v>100</v>
      </c>
      <c r="EZ157" s="72" t="s">
        <v>114</v>
      </c>
      <c r="FA157" s="72"/>
      <c r="FB157" s="78"/>
      <c r="FC157" s="78"/>
      <c r="FD157" s="146"/>
      <c r="FE157" s="78"/>
      <c r="FF157" s="78"/>
      <c r="FG157" s="78"/>
      <c r="FH157" s="78"/>
      <c r="FI157" s="78"/>
      <c r="FJ157" s="78"/>
      <c r="FK157" s="78"/>
      <c r="FL157" s="78"/>
      <c r="FM157" s="78"/>
      <c r="FN157" s="78"/>
      <c r="FO157" s="146"/>
      <c r="FP157" s="78"/>
      <c r="FQ157" s="78"/>
      <c r="FR157" s="78"/>
      <c r="FS157" s="78"/>
      <c r="FT157" s="78"/>
      <c r="FU157" s="78"/>
      <c r="FV157" s="78"/>
      <c r="FW157" s="78"/>
      <c r="FX157" s="78"/>
      <c r="FY157" s="78"/>
    </row>
    <row r="158" spans="1:181" s="71" customFormat="1" ht="16.350000000000001" customHeight="1" x14ac:dyDescent="0.25">
      <c r="A158" s="109"/>
      <c r="B158" s="70"/>
      <c r="C158" s="110"/>
      <c r="D158" s="110"/>
      <c r="E158" s="146"/>
      <c r="F158" s="109" t="str">
        <f>mehrsprachigkeitBegriffsrückgabe(gewählteSpracheZurückgeben(), "Product (foreign language)")</f>
        <v>Produkt (Fremdsprache)</v>
      </c>
      <c r="G158" s="111"/>
      <c r="H158" s="111" t="s">
        <v>267</v>
      </c>
      <c r="I158" s="111" t="s">
        <v>94</v>
      </c>
      <c r="J158" s="111" t="s">
        <v>312</v>
      </c>
      <c r="K158" s="111"/>
      <c r="L158" s="146"/>
      <c r="M158" s="149"/>
      <c r="N158" s="111"/>
      <c r="O158" s="111"/>
      <c r="P158" s="111"/>
      <c r="Q158" s="111"/>
      <c r="R158" s="111"/>
      <c r="S158" s="111"/>
      <c r="T158" s="111"/>
      <c r="U158" s="111"/>
      <c r="V158" s="111"/>
      <c r="W158" s="111"/>
      <c r="X158" s="111"/>
      <c r="Y158" s="111"/>
      <c r="Z158" s="111"/>
      <c r="AA158" s="111"/>
      <c r="AB158" s="111"/>
      <c r="AC158" s="111"/>
      <c r="AD158" s="111"/>
      <c r="AE158" s="111"/>
      <c r="AF158" s="111"/>
      <c r="AG158" s="111"/>
      <c r="AH158" s="111"/>
      <c r="AI158" s="111"/>
      <c r="AJ158" s="111"/>
      <c r="AK158" s="111"/>
      <c r="AL158" s="111"/>
      <c r="AM158" s="111"/>
      <c r="AN158" s="111"/>
      <c r="AO158" s="111"/>
      <c r="AP158" s="111"/>
      <c r="AQ158" s="111"/>
      <c r="AR158" s="111"/>
      <c r="AS158" s="111"/>
      <c r="AT158" s="111"/>
      <c r="AU158" s="111"/>
      <c r="AV158" s="111"/>
      <c r="AW158" s="111"/>
      <c r="AX158" s="111"/>
      <c r="AY158" s="111"/>
      <c r="AZ158" s="111"/>
      <c r="BA158" s="146"/>
      <c r="BB158" s="104" t="s">
        <v>99</v>
      </c>
      <c r="BC158" s="72" t="s">
        <v>95</v>
      </c>
      <c r="BD158" s="72"/>
      <c r="BE158" s="72"/>
      <c r="BF158" s="146"/>
      <c r="BG158" s="112" t="s">
        <v>113</v>
      </c>
      <c r="BH158" s="113"/>
      <c r="BI158" s="146"/>
      <c r="BJ158" s="105"/>
      <c r="BK158" s="113"/>
      <c r="BL158" s="113"/>
      <c r="BM158" s="105"/>
      <c r="BN158" s="113"/>
      <c r="BO158" s="113"/>
      <c r="BP158" s="146"/>
      <c r="BQ158" s="112" t="s">
        <v>113</v>
      </c>
      <c r="BR158" s="113"/>
      <c r="BS158" s="105"/>
      <c r="BT158" s="146"/>
      <c r="BU158" s="105"/>
      <c r="BV158" s="105"/>
      <c r="BW158" s="112"/>
      <c r="BX158" s="113"/>
      <c r="BY158" s="105"/>
      <c r="BZ158" s="113"/>
      <c r="CA158" s="113"/>
      <c r="CB158" s="105"/>
      <c r="CC158" s="113"/>
      <c r="CD158" s="113"/>
      <c r="CE158" s="112"/>
      <c r="CF158" s="113"/>
      <c r="CG158" s="105"/>
      <c r="CH158" s="146"/>
      <c r="CI158" s="105"/>
      <c r="CJ158" s="105"/>
      <c r="CK158" s="112"/>
      <c r="CL158" s="113"/>
      <c r="CM158" s="105"/>
      <c r="CN158" s="113"/>
      <c r="CO158" s="113"/>
      <c r="CP158" s="105"/>
      <c r="CQ158" s="113"/>
      <c r="CR158" s="113"/>
      <c r="CS158" s="112"/>
      <c r="CT158" s="113"/>
      <c r="CU158" s="105"/>
      <c r="CV158" s="146"/>
      <c r="CW158" s="105"/>
      <c r="CX158" s="105"/>
      <c r="CY158" s="112"/>
      <c r="CZ158" s="113"/>
      <c r="DA158" s="105"/>
      <c r="DB158" s="113"/>
      <c r="DC158" s="113"/>
      <c r="DD158" s="105"/>
      <c r="DE158" s="113"/>
      <c r="DF158" s="113"/>
      <c r="DG158" s="112"/>
      <c r="DH158" s="113"/>
      <c r="DI158" s="105"/>
      <c r="DJ158" s="146"/>
      <c r="DK158" s="105"/>
      <c r="DL158" s="105"/>
      <c r="DM158" s="112"/>
      <c r="DN158" s="113"/>
      <c r="DO158" s="105"/>
      <c r="DP158" s="113"/>
      <c r="DQ158" s="113"/>
      <c r="DR158" s="105"/>
      <c r="DS158" s="113"/>
      <c r="DT158" s="113"/>
      <c r="DU158" s="112"/>
      <c r="DV158" s="113"/>
      <c r="DW158" s="105"/>
      <c r="DX158" s="146"/>
      <c r="DY158" s="105"/>
      <c r="DZ158" s="105"/>
      <c r="EA158" s="112"/>
      <c r="EB158" s="113"/>
      <c r="EC158" s="105"/>
      <c r="ED158" s="113"/>
      <c r="EE158" s="113"/>
      <c r="EF158" s="105"/>
      <c r="EG158" s="113"/>
      <c r="EH158" s="113"/>
      <c r="EI158" s="112"/>
      <c r="EJ158" s="113"/>
      <c r="EK158" s="105"/>
      <c r="EL158" s="146"/>
      <c r="EM158" s="72"/>
      <c r="EN158" s="74"/>
      <c r="EO158" s="73"/>
      <c r="EP158" s="72" t="s">
        <v>96</v>
      </c>
      <c r="EQ158" s="72"/>
      <c r="ER158" s="75"/>
      <c r="ES158" s="76"/>
      <c r="ET158" s="77"/>
      <c r="EU158" s="77"/>
      <c r="EV158" s="78"/>
      <c r="EW158" s="72"/>
      <c r="EX158" s="72"/>
      <c r="EY158" s="72"/>
      <c r="EZ158" s="72"/>
      <c r="FA158" s="72"/>
      <c r="FB158" s="78"/>
      <c r="FC158" s="78"/>
      <c r="FD158" s="146"/>
      <c r="FE158" s="78"/>
      <c r="FF158" s="78"/>
      <c r="FG158" s="78"/>
      <c r="FO158" s="146"/>
      <c r="FP158" s="78"/>
      <c r="FQ158" s="78"/>
      <c r="FR158" s="78"/>
    </row>
    <row r="159" spans="1:181" s="71" customFormat="1" ht="16.350000000000001" customHeight="1" x14ac:dyDescent="0.25">
      <c r="A159" s="109"/>
      <c r="B159" s="70"/>
      <c r="C159" s="110"/>
      <c r="D159" s="110">
        <v>1</v>
      </c>
      <c r="E159" s="146"/>
      <c r="F159" s="109" t="str">
        <f>mehrsprachigkeitBegriffsrückgabe(gewählteSpracheZurückgeben(), "Product")</f>
        <v>Produkt</v>
      </c>
      <c r="G159" s="111" t="s">
        <v>268</v>
      </c>
      <c r="H159" s="111"/>
      <c r="I159" s="111" t="s">
        <v>86</v>
      </c>
      <c r="J159" s="111" t="s">
        <v>361</v>
      </c>
      <c r="K159" s="111"/>
      <c r="L159" s="146"/>
      <c r="M159" s="149" t="s">
        <v>392</v>
      </c>
      <c r="N159" s="111" t="s">
        <v>395</v>
      </c>
      <c r="O159" s="114"/>
      <c r="P159" s="114"/>
      <c r="Q159" s="111"/>
      <c r="R159" s="111"/>
      <c r="S159" s="111"/>
      <c r="T159" s="111"/>
      <c r="U159" s="111"/>
      <c r="V159" s="111"/>
      <c r="W159" s="111"/>
      <c r="X159" s="111"/>
      <c r="Y159" s="111"/>
      <c r="Z159" s="111"/>
      <c r="AA159" s="111"/>
      <c r="AB159" s="111"/>
      <c r="AC159" s="111"/>
      <c r="AD159" s="111"/>
      <c r="AE159" s="111"/>
      <c r="AF159" s="111"/>
      <c r="AG159" s="111"/>
      <c r="AH159" s="111"/>
      <c r="AI159" s="111"/>
      <c r="AJ159" s="111"/>
      <c r="AK159" s="111"/>
      <c r="AL159" s="111"/>
      <c r="AM159" s="111"/>
      <c r="AN159" s="111"/>
      <c r="AO159" s="111"/>
      <c r="AP159" s="111"/>
      <c r="AQ159" s="111"/>
      <c r="AR159" s="111"/>
      <c r="AS159" s="111"/>
      <c r="AT159" s="111"/>
      <c r="AU159" s="111"/>
      <c r="AV159" s="111"/>
      <c r="AW159" s="111"/>
      <c r="AX159" s="111"/>
      <c r="AY159" s="111"/>
      <c r="AZ159" s="111"/>
      <c r="BA159" s="146"/>
      <c r="BB159" s="104" t="s">
        <v>98</v>
      </c>
      <c r="BC159" s="72" t="s">
        <v>93</v>
      </c>
      <c r="BD159" s="72" t="s">
        <v>508</v>
      </c>
      <c r="BE159" s="72" t="s">
        <v>412</v>
      </c>
      <c r="BF159" s="146"/>
      <c r="BG159" s="112">
        <v>89.9</v>
      </c>
      <c r="BH159" s="113"/>
      <c r="BI159" s="146"/>
      <c r="BJ159" s="105"/>
      <c r="BK159" s="113"/>
      <c r="BL159" s="113"/>
      <c r="BM159" s="105"/>
      <c r="BN159" s="113"/>
      <c r="BO159" s="152"/>
      <c r="BP159" s="146"/>
      <c r="BQ159" s="112" t="s">
        <v>113</v>
      </c>
      <c r="BR159" s="113"/>
      <c r="BS159" s="105"/>
      <c r="BT159" s="146"/>
      <c r="BU159" s="105"/>
      <c r="BV159" s="105"/>
      <c r="BW159" s="112"/>
      <c r="BX159" s="113"/>
      <c r="BY159" s="105"/>
      <c r="BZ159" s="113"/>
      <c r="CA159" s="113"/>
      <c r="CB159" s="105"/>
      <c r="CC159" s="113"/>
      <c r="CD159" s="152"/>
      <c r="CE159" s="112"/>
      <c r="CF159" s="113"/>
      <c r="CG159" s="105"/>
      <c r="CH159" s="146"/>
      <c r="CI159" s="105"/>
      <c r="CJ159" s="105"/>
      <c r="CK159" s="112"/>
      <c r="CL159" s="113"/>
      <c r="CM159" s="105"/>
      <c r="CN159" s="152"/>
      <c r="CO159" s="152"/>
      <c r="CP159" s="105"/>
      <c r="CQ159" s="113"/>
      <c r="CR159" s="152"/>
      <c r="CS159" s="112"/>
      <c r="CT159" s="113"/>
      <c r="CU159" s="105"/>
      <c r="CV159" s="146"/>
      <c r="CW159" s="105"/>
      <c r="CX159" s="105"/>
      <c r="CY159" s="112"/>
      <c r="CZ159" s="113"/>
      <c r="DA159" s="105"/>
      <c r="DB159" s="113"/>
      <c r="DC159" s="113"/>
      <c r="DD159" s="105"/>
      <c r="DE159" s="113"/>
      <c r="DF159" s="113"/>
      <c r="DG159" s="112"/>
      <c r="DH159" s="113"/>
      <c r="DI159" s="105"/>
      <c r="DJ159" s="146"/>
      <c r="DK159" s="105"/>
      <c r="DL159" s="105"/>
      <c r="DM159" s="112"/>
      <c r="DN159" s="113"/>
      <c r="DO159" s="105"/>
      <c r="DP159" s="113"/>
      <c r="DQ159" s="113"/>
      <c r="DR159" s="105"/>
      <c r="DS159" s="113"/>
      <c r="DT159" s="113"/>
      <c r="DU159" s="112"/>
      <c r="DV159" s="113"/>
      <c r="DW159" s="105"/>
      <c r="DX159" s="146"/>
      <c r="DY159" s="105"/>
      <c r="DZ159" s="105"/>
      <c r="EA159" s="112"/>
      <c r="EB159" s="113"/>
      <c r="EC159" s="105"/>
      <c r="ED159" s="113"/>
      <c r="EE159" s="113"/>
      <c r="EF159" s="105"/>
      <c r="EG159" s="113"/>
      <c r="EH159" s="113"/>
      <c r="EI159" s="112"/>
      <c r="EJ159" s="113"/>
      <c r="EK159" s="105"/>
      <c r="EL159" s="146"/>
      <c r="EM159" s="72" t="s">
        <v>115</v>
      </c>
      <c r="EN159" s="74">
        <v>2250</v>
      </c>
      <c r="EO159" s="73"/>
      <c r="EP159" s="72" t="s">
        <v>77</v>
      </c>
      <c r="EQ159" s="72"/>
      <c r="ER159" s="75"/>
      <c r="ES159" s="76"/>
      <c r="ET159" s="77">
        <v>1</v>
      </c>
      <c r="EU159" s="77"/>
      <c r="EV159" s="78"/>
      <c r="EW159" s="72"/>
      <c r="EX159" s="72"/>
      <c r="EY159" s="72" t="s">
        <v>100</v>
      </c>
      <c r="EZ159" s="72" t="s">
        <v>114</v>
      </c>
      <c r="FA159" s="72"/>
      <c r="FB159" s="78"/>
      <c r="FC159" s="78"/>
      <c r="FD159" s="146"/>
      <c r="FE159" s="78"/>
      <c r="FF159" s="78"/>
      <c r="FG159" s="78"/>
      <c r="FH159" s="78"/>
      <c r="FI159" s="78"/>
      <c r="FJ159" s="78"/>
      <c r="FK159" s="78"/>
      <c r="FL159" s="78"/>
      <c r="FM159" s="78"/>
      <c r="FN159" s="78"/>
      <c r="FO159" s="146"/>
      <c r="FP159" s="78"/>
      <c r="FQ159" s="78"/>
      <c r="FR159" s="78"/>
      <c r="FS159" s="78"/>
      <c r="FT159" s="78"/>
      <c r="FU159" s="78"/>
      <c r="FV159" s="78"/>
      <c r="FW159" s="78"/>
      <c r="FX159" s="78"/>
      <c r="FY159" s="78"/>
    </row>
    <row r="160" spans="1:181" s="71" customFormat="1" ht="16.350000000000001" customHeight="1" x14ac:dyDescent="0.25">
      <c r="A160" s="109"/>
      <c r="B160" s="70"/>
      <c r="C160" s="110"/>
      <c r="D160" s="110"/>
      <c r="E160" s="146"/>
      <c r="F160" s="109" t="str">
        <f>mehrsprachigkeitBegriffsrückgabe(gewählteSpracheZurückgeben(), "Product (foreign language)")</f>
        <v>Produkt (Fremdsprache)</v>
      </c>
      <c r="G160" s="111"/>
      <c r="H160" s="111" t="s">
        <v>268</v>
      </c>
      <c r="I160" s="111" t="s">
        <v>94</v>
      </c>
      <c r="J160" s="111" t="s">
        <v>313</v>
      </c>
      <c r="K160" s="111"/>
      <c r="L160" s="146"/>
      <c r="M160" s="149"/>
      <c r="N160" s="111"/>
      <c r="O160" s="111"/>
      <c r="P160" s="111"/>
      <c r="Q160" s="111"/>
      <c r="R160" s="111"/>
      <c r="S160" s="111"/>
      <c r="T160" s="111"/>
      <c r="U160" s="111"/>
      <c r="V160" s="111"/>
      <c r="W160" s="111"/>
      <c r="X160" s="111"/>
      <c r="Y160" s="111"/>
      <c r="Z160" s="111"/>
      <c r="AA160" s="111"/>
      <c r="AB160" s="111"/>
      <c r="AC160" s="111"/>
      <c r="AD160" s="111"/>
      <c r="AE160" s="111"/>
      <c r="AF160" s="111"/>
      <c r="AG160" s="111"/>
      <c r="AH160" s="111"/>
      <c r="AI160" s="111"/>
      <c r="AJ160" s="111"/>
      <c r="AK160" s="111"/>
      <c r="AL160" s="111"/>
      <c r="AM160" s="111"/>
      <c r="AN160" s="111"/>
      <c r="AO160" s="111"/>
      <c r="AP160" s="111"/>
      <c r="AQ160" s="111"/>
      <c r="AR160" s="111"/>
      <c r="AS160" s="111"/>
      <c r="AT160" s="111"/>
      <c r="AU160" s="111"/>
      <c r="AV160" s="111"/>
      <c r="AW160" s="111"/>
      <c r="AX160" s="111"/>
      <c r="AY160" s="111"/>
      <c r="AZ160" s="111"/>
      <c r="BA160" s="146"/>
      <c r="BB160" s="104" t="s">
        <v>99</v>
      </c>
      <c r="BC160" s="72" t="s">
        <v>95</v>
      </c>
      <c r="BD160" s="72"/>
      <c r="BE160" s="72"/>
      <c r="BF160" s="146"/>
      <c r="BG160" s="112" t="s">
        <v>113</v>
      </c>
      <c r="BH160" s="113"/>
      <c r="BI160" s="146"/>
      <c r="BJ160" s="105"/>
      <c r="BK160" s="113"/>
      <c r="BL160" s="113"/>
      <c r="BM160" s="105"/>
      <c r="BN160" s="113"/>
      <c r="BO160" s="113"/>
      <c r="BP160" s="146"/>
      <c r="BQ160" s="112" t="s">
        <v>113</v>
      </c>
      <c r="BR160" s="113"/>
      <c r="BS160" s="105"/>
      <c r="BT160" s="146"/>
      <c r="BU160" s="105"/>
      <c r="BV160" s="105"/>
      <c r="BW160" s="112"/>
      <c r="BX160" s="113"/>
      <c r="BY160" s="105"/>
      <c r="BZ160" s="113"/>
      <c r="CA160" s="113"/>
      <c r="CB160" s="105"/>
      <c r="CC160" s="113"/>
      <c r="CD160" s="113"/>
      <c r="CE160" s="112"/>
      <c r="CF160" s="113"/>
      <c r="CG160" s="105"/>
      <c r="CH160" s="146"/>
      <c r="CI160" s="105"/>
      <c r="CJ160" s="105"/>
      <c r="CK160" s="112"/>
      <c r="CL160" s="113"/>
      <c r="CM160" s="105"/>
      <c r="CN160" s="113"/>
      <c r="CO160" s="113"/>
      <c r="CP160" s="105"/>
      <c r="CQ160" s="113"/>
      <c r="CR160" s="113"/>
      <c r="CS160" s="112"/>
      <c r="CT160" s="113"/>
      <c r="CU160" s="105"/>
      <c r="CV160" s="146"/>
      <c r="CW160" s="105"/>
      <c r="CX160" s="105"/>
      <c r="CY160" s="112"/>
      <c r="CZ160" s="113"/>
      <c r="DA160" s="105"/>
      <c r="DB160" s="113"/>
      <c r="DC160" s="113"/>
      <c r="DD160" s="105"/>
      <c r="DE160" s="113"/>
      <c r="DF160" s="113"/>
      <c r="DG160" s="112"/>
      <c r="DH160" s="113"/>
      <c r="DI160" s="105"/>
      <c r="DJ160" s="146"/>
      <c r="DK160" s="105"/>
      <c r="DL160" s="105"/>
      <c r="DM160" s="112"/>
      <c r="DN160" s="113"/>
      <c r="DO160" s="105"/>
      <c r="DP160" s="113"/>
      <c r="DQ160" s="113"/>
      <c r="DR160" s="105"/>
      <c r="DS160" s="113"/>
      <c r="DT160" s="113"/>
      <c r="DU160" s="112"/>
      <c r="DV160" s="113"/>
      <c r="DW160" s="105"/>
      <c r="DX160" s="146"/>
      <c r="DY160" s="105"/>
      <c r="DZ160" s="105"/>
      <c r="EA160" s="112"/>
      <c r="EB160" s="113"/>
      <c r="EC160" s="105"/>
      <c r="ED160" s="113"/>
      <c r="EE160" s="113"/>
      <c r="EF160" s="105"/>
      <c r="EG160" s="113"/>
      <c r="EH160" s="113"/>
      <c r="EI160" s="112"/>
      <c r="EJ160" s="113"/>
      <c r="EK160" s="105"/>
      <c r="EL160" s="146"/>
      <c r="EM160" s="72"/>
      <c r="EN160" s="74"/>
      <c r="EO160" s="73"/>
      <c r="EP160" s="72" t="s">
        <v>96</v>
      </c>
      <c r="EQ160" s="72"/>
      <c r="ER160" s="75"/>
      <c r="ES160" s="76"/>
      <c r="ET160" s="77"/>
      <c r="EU160" s="77"/>
      <c r="EV160" s="78"/>
      <c r="EW160" s="72"/>
      <c r="EX160" s="72"/>
      <c r="EY160" s="72"/>
      <c r="EZ160" s="72"/>
      <c r="FA160" s="72"/>
      <c r="FB160" s="78"/>
      <c r="FC160" s="78"/>
      <c r="FD160" s="146"/>
      <c r="FE160" s="78"/>
      <c r="FF160" s="78"/>
      <c r="FG160" s="78"/>
      <c r="FO160" s="146"/>
      <c r="FP160" s="78"/>
      <c r="FQ160" s="78"/>
      <c r="FR160" s="78"/>
    </row>
    <row r="161" spans="1:181" s="71" customFormat="1" ht="16.350000000000001" customHeight="1" x14ac:dyDescent="0.25">
      <c r="A161" s="109"/>
      <c r="B161" s="70"/>
      <c r="C161" s="110"/>
      <c r="D161" s="110">
        <v>1</v>
      </c>
      <c r="E161" s="146"/>
      <c r="F161" s="109" t="str">
        <f>mehrsprachigkeitBegriffsrückgabe(gewählteSpracheZurückgeben(), "Product")</f>
        <v>Produkt</v>
      </c>
      <c r="G161" s="111" t="s">
        <v>269</v>
      </c>
      <c r="H161" s="111"/>
      <c r="I161" s="111" t="s">
        <v>86</v>
      </c>
      <c r="J161" s="111" t="s">
        <v>362</v>
      </c>
      <c r="K161" s="111"/>
      <c r="L161" s="146"/>
      <c r="M161" s="149" t="s">
        <v>392</v>
      </c>
      <c r="N161" s="111" t="s">
        <v>398</v>
      </c>
      <c r="O161" s="114" t="s">
        <v>392</v>
      </c>
      <c r="P161" s="114" t="s">
        <v>393</v>
      </c>
      <c r="Q161" s="111"/>
      <c r="R161" s="111"/>
      <c r="S161" s="111"/>
      <c r="T161" s="111"/>
      <c r="U161" s="111"/>
      <c r="V161" s="111"/>
      <c r="W161" s="111"/>
      <c r="X161" s="111"/>
      <c r="Y161" s="111"/>
      <c r="Z161" s="111"/>
      <c r="AA161" s="111"/>
      <c r="AB161" s="111"/>
      <c r="AC161" s="111"/>
      <c r="AD161" s="111"/>
      <c r="AE161" s="111"/>
      <c r="AF161" s="111"/>
      <c r="AG161" s="111"/>
      <c r="AH161" s="111"/>
      <c r="AI161" s="111"/>
      <c r="AJ161" s="111"/>
      <c r="AK161" s="111"/>
      <c r="AL161" s="111"/>
      <c r="AM161" s="111"/>
      <c r="AN161" s="111"/>
      <c r="AO161" s="111"/>
      <c r="AP161" s="111"/>
      <c r="AQ161" s="111"/>
      <c r="AR161" s="111"/>
      <c r="AS161" s="111"/>
      <c r="AT161" s="111"/>
      <c r="AU161" s="111"/>
      <c r="AV161" s="111"/>
      <c r="AW161" s="111"/>
      <c r="AX161" s="111"/>
      <c r="AY161" s="111"/>
      <c r="AZ161" s="111"/>
      <c r="BA161" s="146"/>
      <c r="BB161" s="104" t="s">
        <v>98</v>
      </c>
      <c r="BC161" s="72" t="s">
        <v>93</v>
      </c>
      <c r="BD161" s="72" t="s">
        <v>508</v>
      </c>
      <c r="BE161" s="72" t="s">
        <v>414</v>
      </c>
      <c r="BF161" s="146"/>
      <c r="BG161" s="112">
        <v>59.9</v>
      </c>
      <c r="BH161" s="113"/>
      <c r="BI161" s="146"/>
      <c r="BJ161" s="105"/>
      <c r="BK161" s="113"/>
      <c r="BL161" s="113"/>
      <c r="BM161" s="105"/>
      <c r="BN161" s="113"/>
      <c r="BO161" s="152"/>
      <c r="BP161" s="146"/>
      <c r="BQ161" s="112">
        <v>69.900000000000006</v>
      </c>
      <c r="BR161" s="113"/>
      <c r="BS161" s="105">
        <v>1</v>
      </c>
      <c r="BT161" s="146"/>
      <c r="BU161" s="105"/>
      <c r="BV161" s="105"/>
      <c r="BW161" s="112"/>
      <c r="BX161" s="113"/>
      <c r="BY161" s="105"/>
      <c r="BZ161" s="113"/>
      <c r="CA161" s="113"/>
      <c r="CB161" s="105"/>
      <c r="CC161" s="113"/>
      <c r="CD161" s="152"/>
      <c r="CE161" s="112"/>
      <c r="CF161" s="113"/>
      <c r="CG161" s="105"/>
      <c r="CH161" s="146"/>
      <c r="CI161" s="105"/>
      <c r="CJ161" s="105"/>
      <c r="CK161" s="112"/>
      <c r="CL161" s="113"/>
      <c r="CM161" s="105"/>
      <c r="CN161" s="152"/>
      <c r="CO161" s="152"/>
      <c r="CP161" s="105"/>
      <c r="CQ161" s="113"/>
      <c r="CR161" s="152"/>
      <c r="CS161" s="112"/>
      <c r="CT161" s="113"/>
      <c r="CU161" s="105"/>
      <c r="CV161" s="146"/>
      <c r="CW161" s="105"/>
      <c r="CX161" s="105"/>
      <c r="CY161" s="112"/>
      <c r="CZ161" s="113"/>
      <c r="DA161" s="105"/>
      <c r="DB161" s="113"/>
      <c r="DC161" s="113"/>
      <c r="DD161" s="105"/>
      <c r="DE161" s="113"/>
      <c r="DF161" s="113"/>
      <c r="DG161" s="112"/>
      <c r="DH161" s="113"/>
      <c r="DI161" s="105"/>
      <c r="DJ161" s="146"/>
      <c r="DK161" s="105"/>
      <c r="DL161" s="105"/>
      <c r="DM161" s="112"/>
      <c r="DN161" s="113"/>
      <c r="DO161" s="105"/>
      <c r="DP161" s="113"/>
      <c r="DQ161" s="113"/>
      <c r="DR161" s="105"/>
      <c r="DS161" s="113"/>
      <c r="DT161" s="113"/>
      <c r="DU161" s="112"/>
      <c r="DV161" s="113"/>
      <c r="DW161" s="105"/>
      <c r="DX161" s="146"/>
      <c r="DY161" s="105"/>
      <c r="DZ161" s="105"/>
      <c r="EA161" s="112"/>
      <c r="EB161" s="113"/>
      <c r="EC161" s="105"/>
      <c r="ED161" s="113"/>
      <c r="EE161" s="113"/>
      <c r="EF161" s="105"/>
      <c r="EG161" s="113"/>
      <c r="EH161" s="113"/>
      <c r="EI161" s="112"/>
      <c r="EJ161" s="113"/>
      <c r="EK161" s="105"/>
      <c r="EL161" s="146"/>
      <c r="EM161" s="72" t="s">
        <v>115</v>
      </c>
      <c r="EN161" s="74">
        <v>2250</v>
      </c>
      <c r="EO161" s="73"/>
      <c r="EP161" s="72" t="s">
        <v>77</v>
      </c>
      <c r="EQ161" s="72"/>
      <c r="ER161" s="75"/>
      <c r="ES161" s="76"/>
      <c r="ET161" s="77"/>
      <c r="EU161" s="77">
        <v>1</v>
      </c>
      <c r="EV161" s="78"/>
      <c r="EW161" s="72"/>
      <c r="EX161" s="72"/>
      <c r="EY161" s="72" t="s">
        <v>100</v>
      </c>
      <c r="EZ161" s="72" t="s">
        <v>114</v>
      </c>
      <c r="FA161" s="72"/>
      <c r="FB161" s="78"/>
      <c r="FC161" s="78"/>
      <c r="FD161" s="146"/>
      <c r="FE161" s="78"/>
      <c r="FF161" s="78"/>
      <c r="FG161" s="78"/>
      <c r="FH161" s="78"/>
      <c r="FI161" s="78"/>
      <c r="FJ161" s="78"/>
      <c r="FK161" s="78"/>
      <c r="FL161" s="78"/>
      <c r="FM161" s="78"/>
      <c r="FN161" s="78"/>
      <c r="FO161" s="146"/>
      <c r="FP161" s="78"/>
      <c r="FQ161" s="78"/>
      <c r="FR161" s="78"/>
      <c r="FS161" s="78"/>
      <c r="FT161" s="78"/>
      <c r="FU161" s="78"/>
      <c r="FV161" s="78"/>
      <c r="FW161" s="78"/>
      <c r="FX161" s="78"/>
      <c r="FY161" s="78"/>
    </row>
    <row r="162" spans="1:181" s="71" customFormat="1" ht="16.350000000000001" customHeight="1" x14ac:dyDescent="0.25">
      <c r="A162" s="109"/>
      <c r="B162" s="70"/>
      <c r="C162" s="110"/>
      <c r="D162" s="110"/>
      <c r="E162" s="146"/>
      <c r="F162" s="109" t="str">
        <f>mehrsprachigkeitBegriffsrückgabe(gewählteSpracheZurückgeben(), "Product (foreign language)")</f>
        <v>Produkt (Fremdsprache)</v>
      </c>
      <c r="G162" s="111"/>
      <c r="H162" s="111" t="s">
        <v>269</v>
      </c>
      <c r="I162" s="111" t="s">
        <v>94</v>
      </c>
      <c r="J162" s="111" t="s">
        <v>314</v>
      </c>
      <c r="K162" s="111"/>
      <c r="L162" s="146"/>
      <c r="M162" s="149"/>
      <c r="N162" s="111"/>
      <c r="O162" s="111"/>
      <c r="P162" s="111"/>
      <c r="Q162" s="111"/>
      <c r="R162" s="111"/>
      <c r="S162" s="111"/>
      <c r="T162" s="111"/>
      <c r="U162" s="111"/>
      <c r="V162" s="111"/>
      <c r="W162" s="111"/>
      <c r="X162" s="111"/>
      <c r="Y162" s="111"/>
      <c r="Z162" s="111"/>
      <c r="AA162" s="111"/>
      <c r="AB162" s="111"/>
      <c r="AC162" s="111"/>
      <c r="AD162" s="111"/>
      <c r="AE162" s="111"/>
      <c r="AF162" s="111"/>
      <c r="AG162" s="111"/>
      <c r="AH162" s="111"/>
      <c r="AI162" s="111"/>
      <c r="AJ162" s="111"/>
      <c r="AK162" s="111"/>
      <c r="AL162" s="111"/>
      <c r="AM162" s="111"/>
      <c r="AN162" s="111"/>
      <c r="AO162" s="111"/>
      <c r="AP162" s="111"/>
      <c r="AQ162" s="111"/>
      <c r="AR162" s="111"/>
      <c r="AS162" s="111"/>
      <c r="AT162" s="111"/>
      <c r="AU162" s="111"/>
      <c r="AV162" s="111"/>
      <c r="AW162" s="111"/>
      <c r="AX162" s="111"/>
      <c r="AY162" s="111"/>
      <c r="AZ162" s="111"/>
      <c r="BA162" s="146"/>
      <c r="BB162" s="104" t="s">
        <v>99</v>
      </c>
      <c r="BC162" s="72" t="s">
        <v>95</v>
      </c>
      <c r="BD162" s="72"/>
      <c r="BE162" s="72"/>
      <c r="BF162" s="146"/>
      <c r="BG162" s="112" t="s">
        <v>113</v>
      </c>
      <c r="BH162" s="113"/>
      <c r="BI162" s="146"/>
      <c r="BJ162" s="105"/>
      <c r="BK162" s="113"/>
      <c r="BL162" s="113"/>
      <c r="BM162" s="105"/>
      <c r="BN162" s="113"/>
      <c r="BO162" s="113"/>
      <c r="BP162" s="146"/>
      <c r="BQ162" s="112" t="s">
        <v>113</v>
      </c>
      <c r="BR162" s="113"/>
      <c r="BS162" s="105"/>
      <c r="BT162" s="146"/>
      <c r="BU162" s="105"/>
      <c r="BV162" s="105"/>
      <c r="BW162" s="112"/>
      <c r="BX162" s="113"/>
      <c r="BY162" s="105"/>
      <c r="BZ162" s="113"/>
      <c r="CA162" s="113"/>
      <c r="CB162" s="105"/>
      <c r="CC162" s="113"/>
      <c r="CD162" s="113"/>
      <c r="CE162" s="112"/>
      <c r="CF162" s="113"/>
      <c r="CG162" s="105"/>
      <c r="CH162" s="146"/>
      <c r="CI162" s="105"/>
      <c r="CJ162" s="105"/>
      <c r="CK162" s="112"/>
      <c r="CL162" s="113"/>
      <c r="CM162" s="105"/>
      <c r="CN162" s="113"/>
      <c r="CO162" s="113"/>
      <c r="CP162" s="105"/>
      <c r="CQ162" s="113"/>
      <c r="CR162" s="113"/>
      <c r="CS162" s="112"/>
      <c r="CT162" s="113"/>
      <c r="CU162" s="105"/>
      <c r="CV162" s="146"/>
      <c r="CW162" s="105"/>
      <c r="CX162" s="105"/>
      <c r="CY162" s="112"/>
      <c r="CZ162" s="113"/>
      <c r="DA162" s="105"/>
      <c r="DB162" s="113"/>
      <c r="DC162" s="113"/>
      <c r="DD162" s="105"/>
      <c r="DE162" s="113"/>
      <c r="DF162" s="113"/>
      <c r="DG162" s="112"/>
      <c r="DH162" s="113"/>
      <c r="DI162" s="105"/>
      <c r="DJ162" s="146"/>
      <c r="DK162" s="105"/>
      <c r="DL162" s="105"/>
      <c r="DM162" s="112"/>
      <c r="DN162" s="113"/>
      <c r="DO162" s="105"/>
      <c r="DP162" s="113"/>
      <c r="DQ162" s="113"/>
      <c r="DR162" s="105"/>
      <c r="DS162" s="113"/>
      <c r="DT162" s="113"/>
      <c r="DU162" s="112"/>
      <c r="DV162" s="113"/>
      <c r="DW162" s="105"/>
      <c r="DX162" s="146"/>
      <c r="DY162" s="105"/>
      <c r="DZ162" s="105"/>
      <c r="EA162" s="112"/>
      <c r="EB162" s="113"/>
      <c r="EC162" s="105"/>
      <c r="ED162" s="113"/>
      <c r="EE162" s="113"/>
      <c r="EF162" s="105"/>
      <c r="EG162" s="113"/>
      <c r="EH162" s="113"/>
      <c r="EI162" s="112"/>
      <c r="EJ162" s="113"/>
      <c r="EK162" s="105"/>
      <c r="EL162" s="146"/>
      <c r="EM162" s="72"/>
      <c r="EN162" s="74"/>
      <c r="EO162" s="73"/>
      <c r="EP162" s="72" t="s">
        <v>96</v>
      </c>
      <c r="EQ162" s="72"/>
      <c r="ER162" s="75"/>
      <c r="ES162" s="76"/>
      <c r="ET162" s="77"/>
      <c r="EU162" s="77"/>
      <c r="EV162" s="78"/>
      <c r="EW162" s="72"/>
      <c r="EX162" s="72"/>
      <c r="EY162" s="72"/>
      <c r="EZ162" s="72"/>
      <c r="FA162" s="72"/>
      <c r="FB162" s="78"/>
      <c r="FC162" s="78"/>
      <c r="FD162" s="146"/>
      <c r="FE162" s="78"/>
      <c r="FF162" s="78"/>
      <c r="FG162" s="78"/>
      <c r="FO162" s="146"/>
      <c r="FP162" s="78"/>
      <c r="FQ162" s="78"/>
      <c r="FR162" s="78"/>
    </row>
    <row r="163" spans="1:181" s="71" customFormat="1" ht="16.350000000000001" customHeight="1" x14ac:dyDescent="0.25">
      <c r="A163" s="109"/>
      <c r="B163" s="70"/>
      <c r="C163" s="110"/>
      <c r="D163" s="110">
        <v>1</v>
      </c>
      <c r="E163" s="146"/>
      <c r="F163" s="109" t="str">
        <f>mehrsprachigkeitBegriffsrückgabe(gewählteSpracheZurückgeben(), "Product")</f>
        <v>Produkt</v>
      </c>
      <c r="G163" s="111" t="s">
        <v>270</v>
      </c>
      <c r="H163" s="111"/>
      <c r="I163" s="111" t="s">
        <v>86</v>
      </c>
      <c r="J163" s="111" t="s">
        <v>363</v>
      </c>
      <c r="K163" s="111"/>
      <c r="L163" s="146"/>
      <c r="M163" s="149" t="s">
        <v>392</v>
      </c>
      <c r="N163" s="111" t="s">
        <v>396</v>
      </c>
      <c r="O163" s="114"/>
      <c r="P163" s="114"/>
      <c r="Q163" s="111"/>
      <c r="R163" s="111"/>
      <c r="S163" s="111"/>
      <c r="T163" s="111"/>
      <c r="U163" s="111"/>
      <c r="V163" s="111"/>
      <c r="W163" s="111"/>
      <c r="X163" s="111"/>
      <c r="Y163" s="111"/>
      <c r="Z163" s="111"/>
      <c r="AA163" s="111"/>
      <c r="AB163" s="111"/>
      <c r="AC163" s="111"/>
      <c r="AD163" s="111"/>
      <c r="AE163" s="111"/>
      <c r="AF163" s="111"/>
      <c r="AG163" s="111"/>
      <c r="AH163" s="111"/>
      <c r="AI163" s="111"/>
      <c r="AJ163" s="111"/>
      <c r="AK163" s="111"/>
      <c r="AL163" s="111"/>
      <c r="AM163" s="111"/>
      <c r="AN163" s="111"/>
      <c r="AO163" s="111"/>
      <c r="AP163" s="111"/>
      <c r="AQ163" s="111"/>
      <c r="AR163" s="111"/>
      <c r="AS163" s="111"/>
      <c r="AT163" s="111"/>
      <c r="AU163" s="111"/>
      <c r="AV163" s="111"/>
      <c r="AW163" s="111"/>
      <c r="AX163" s="111"/>
      <c r="AY163" s="111"/>
      <c r="AZ163" s="111"/>
      <c r="BA163" s="146"/>
      <c r="BB163" s="104" t="s">
        <v>98</v>
      </c>
      <c r="BC163" s="72" t="s">
        <v>93</v>
      </c>
      <c r="BD163" s="72" t="s">
        <v>508</v>
      </c>
      <c r="BE163" s="72" t="s">
        <v>413</v>
      </c>
      <c r="BF163" s="146"/>
      <c r="BG163" s="112">
        <v>69.900000000000006</v>
      </c>
      <c r="BH163" s="113"/>
      <c r="BI163" s="146"/>
      <c r="BJ163" s="105"/>
      <c r="BK163" s="113"/>
      <c r="BL163" s="113"/>
      <c r="BM163" s="105"/>
      <c r="BN163" s="113"/>
      <c r="BO163" s="152"/>
      <c r="BP163" s="146"/>
      <c r="BQ163" s="112">
        <v>89.9</v>
      </c>
      <c r="BR163" s="113"/>
      <c r="BS163" s="105">
        <v>1</v>
      </c>
      <c r="BT163" s="146"/>
      <c r="BU163" s="105"/>
      <c r="BV163" s="105"/>
      <c r="BW163" s="112"/>
      <c r="BX163" s="113"/>
      <c r="BY163" s="105"/>
      <c r="BZ163" s="113"/>
      <c r="CA163" s="113"/>
      <c r="CB163" s="105"/>
      <c r="CC163" s="113"/>
      <c r="CD163" s="152"/>
      <c r="CE163" s="112"/>
      <c r="CF163" s="113"/>
      <c r="CG163" s="105"/>
      <c r="CH163" s="146"/>
      <c r="CI163" s="105"/>
      <c r="CJ163" s="105"/>
      <c r="CK163" s="112"/>
      <c r="CL163" s="113"/>
      <c r="CM163" s="105"/>
      <c r="CN163" s="152"/>
      <c r="CO163" s="152"/>
      <c r="CP163" s="105"/>
      <c r="CQ163" s="113"/>
      <c r="CR163" s="152"/>
      <c r="CS163" s="112"/>
      <c r="CT163" s="113"/>
      <c r="CU163" s="105"/>
      <c r="CV163" s="146"/>
      <c r="CW163" s="105"/>
      <c r="CX163" s="105"/>
      <c r="CY163" s="112"/>
      <c r="CZ163" s="113"/>
      <c r="DA163" s="105"/>
      <c r="DB163" s="113"/>
      <c r="DC163" s="113"/>
      <c r="DD163" s="105"/>
      <c r="DE163" s="113"/>
      <c r="DF163" s="113"/>
      <c r="DG163" s="112"/>
      <c r="DH163" s="113"/>
      <c r="DI163" s="105"/>
      <c r="DJ163" s="146"/>
      <c r="DK163" s="105"/>
      <c r="DL163" s="105"/>
      <c r="DM163" s="112"/>
      <c r="DN163" s="113"/>
      <c r="DO163" s="105"/>
      <c r="DP163" s="113"/>
      <c r="DQ163" s="113"/>
      <c r="DR163" s="105"/>
      <c r="DS163" s="113"/>
      <c r="DT163" s="113"/>
      <c r="DU163" s="112"/>
      <c r="DV163" s="113"/>
      <c r="DW163" s="105"/>
      <c r="DX163" s="146"/>
      <c r="DY163" s="105"/>
      <c r="DZ163" s="105"/>
      <c r="EA163" s="112"/>
      <c r="EB163" s="113"/>
      <c r="EC163" s="105"/>
      <c r="ED163" s="113"/>
      <c r="EE163" s="113"/>
      <c r="EF163" s="105"/>
      <c r="EG163" s="113"/>
      <c r="EH163" s="113"/>
      <c r="EI163" s="112"/>
      <c r="EJ163" s="113"/>
      <c r="EK163" s="105"/>
      <c r="EL163" s="146"/>
      <c r="EM163" s="72" t="s">
        <v>115</v>
      </c>
      <c r="EN163" s="74">
        <v>2250</v>
      </c>
      <c r="EO163" s="73"/>
      <c r="EP163" s="72" t="s">
        <v>77</v>
      </c>
      <c r="EQ163" s="72"/>
      <c r="ER163" s="75"/>
      <c r="ES163" s="76"/>
      <c r="ET163" s="77"/>
      <c r="EU163" s="77">
        <v>1</v>
      </c>
      <c r="EV163" s="78"/>
      <c r="EW163" s="72"/>
      <c r="EX163" s="72"/>
      <c r="EY163" s="72" t="s">
        <v>100</v>
      </c>
      <c r="EZ163" s="72" t="s">
        <v>114</v>
      </c>
      <c r="FA163" s="72"/>
      <c r="FB163" s="78"/>
      <c r="FC163" s="78"/>
      <c r="FD163" s="146"/>
      <c r="FE163" s="78"/>
      <c r="FF163" s="78"/>
      <c r="FG163" s="78"/>
      <c r="FH163" s="78"/>
      <c r="FI163" s="78"/>
      <c r="FJ163" s="78"/>
      <c r="FK163" s="78"/>
      <c r="FL163" s="78"/>
      <c r="FM163" s="78"/>
      <c r="FN163" s="78"/>
      <c r="FO163" s="146"/>
      <c r="FP163" s="78"/>
      <c r="FQ163" s="78"/>
      <c r="FR163" s="78"/>
      <c r="FS163" s="78"/>
      <c r="FT163" s="78"/>
      <c r="FU163" s="78"/>
      <c r="FV163" s="78"/>
      <c r="FW163" s="78"/>
      <c r="FX163" s="78"/>
      <c r="FY163" s="78"/>
    </row>
    <row r="164" spans="1:181" s="71" customFormat="1" ht="16.350000000000001" customHeight="1" x14ac:dyDescent="0.25">
      <c r="A164" s="109"/>
      <c r="B164" s="70"/>
      <c r="C164" s="110"/>
      <c r="D164" s="110"/>
      <c r="E164" s="146"/>
      <c r="F164" s="109" t="str">
        <f>mehrsprachigkeitBegriffsrückgabe(gewählteSpracheZurückgeben(), "Product (foreign language)")</f>
        <v>Produkt (Fremdsprache)</v>
      </c>
      <c r="G164" s="111"/>
      <c r="H164" s="111" t="s">
        <v>270</v>
      </c>
      <c r="I164" s="111" t="s">
        <v>94</v>
      </c>
      <c r="J164" s="111" t="s">
        <v>315</v>
      </c>
      <c r="K164" s="111"/>
      <c r="L164" s="146"/>
      <c r="M164" s="149"/>
      <c r="N164" s="111"/>
      <c r="O164" s="111"/>
      <c r="P164" s="111"/>
      <c r="Q164" s="111"/>
      <c r="R164" s="111"/>
      <c r="S164" s="111"/>
      <c r="T164" s="111"/>
      <c r="U164" s="111"/>
      <c r="V164" s="111"/>
      <c r="W164" s="111"/>
      <c r="X164" s="111"/>
      <c r="Y164" s="111"/>
      <c r="Z164" s="111"/>
      <c r="AA164" s="111"/>
      <c r="AB164" s="111"/>
      <c r="AC164" s="111"/>
      <c r="AD164" s="111"/>
      <c r="AE164" s="111"/>
      <c r="AF164" s="111"/>
      <c r="AG164" s="111"/>
      <c r="AH164" s="111"/>
      <c r="AI164" s="111"/>
      <c r="AJ164" s="111"/>
      <c r="AK164" s="111"/>
      <c r="AL164" s="111"/>
      <c r="AM164" s="111"/>
      <c r="AN164" s="111"/>
      <c r="AO164" s="111"/>
      <c r="AP164" s="111"/>
      <c r="AQ164" s="111"/>
      <c r="AR164" s="111"/>
      <c r="AS164" s="111"/>
      <c r="AT164" s="111"/>
      <c r="AU164" s="111"/>
      <c r="AV164" s="111"/>
      <c r="AW164" s="111"/>
      <c r="AX164" s="111"/>
      <c r="AY164" s="111"/>
      <c r="AZ164" s="111"/>
      <c r="BA164" s="146"/>
      <c r="BB164" s="104" t="s">
        <v>99</v>
      </c>
      <c r="BC164" s="72" t="s">
        <v>95</v>
      </c>
      <c r="BD164" s="72"/>
      <c r="BE164" s="72"/>
      <c r="BF164" s="146"/>
      <c r="BG164" s="112" t="s">
        <v>113</v>
      </c>
      <c r="BH164" s="113"/>
      <c r="BI164" s="146"/>
      <c r="BJ164" s="105"/>
      <c r="BK164" s="113"/>
      <c r="BL164" s="113"/>
      <c r="BM164" s="105"/>
      <c r="BN164" s="113"/>
      <c r="BO164" s="113"/>
      <c r="BP164" s="146"/>
      <c r="BQ164" s="112" t="s">
        <v>113</v>
      </c>
      <c r="BR164" s="113"/>
      <c r="BS164" s="105"/>
      <c r="BT164" s="146"/>
      <c r="BU164" s="105"/>
      <c r="BV164" s="105"/>
      <c r="BW164" s="112"/>
      <c r="BX164" s="113"/>
      <c r="BY164" s="105"/>
      <c r="BZ164" s="113"/>
      <c r="CA164" s="113"/>
      <c r="CB164" s="105"/>
      <c r="CC164" s="113"/>
      <c r="CD164" s="113"/>
      <c r="CE164" s="112"/>
      <c r="CF164" s="113"/>
      <c r="CG164" s="105"/>
      <c r="CH164" s="146"/>
      <c r="CI164" s="105"/>
      <c r="CJ164" s="105"/>
      <c r="CK164" s="112"/>
      <c r="CL164" s="113"/>
      <c r="CM164" s="105"/>
      <c r="CN164" s="113"/>
      <c r="CO164" s="113"/>
      <c r="CP164" s="105"/>
      <c r="CQ164" s="113"/>
      <c r="CR164" s="113"/>
      <c r="CS164" s="112"/>
      <c r="CT164" s="113"/>
      <c r="CU164" s="105"/>
      <c r="CV164" s="146"/>
      <c r="CW164" s="105"/>
      <c r="CX164" s="105"/>
      <c r="CY164" s="112"/>
      <c r="CZ164" s="113"/>
      <c r="DA164" s="105"/>
      <c r="DB164" s="113"/>
      <c r="DC164" s="113"/>
      <c r="DD164" s="105"/>
      <c r="DE164" s="113"/>
      <c r="DF164" s="113"/>
      <c r="DG164" s="112"/>
      <c r="DH164" s="113"/>
      <c r="DI164" s="105"/>
      <c r="DJ164" s="146"/>
      <c r="DK164" s="105"/>
      <c r="DL164" s="105"/>
      <c r="DM164" s="112"/>
      <c r="DN164" s="113"/>
      <c r="DO164" s="105"/>
      <c r="DP164" s="113"/>
      <c r="DQ164" s="113"/>
      <c r="DR164" s="105"/>
      <c r="DS164" s="113"/>
      <c r="DT164" s="113"/>
      <c r="DU164" s="112"/>
      <c r="DV164" s="113"/>
      <c r="DW164" s="105"/>
      <c r="DX164" s="146"/>
      <c r="DY164" s="105"/>
      <c r="DZ164" s="105"/>
      <c r="EA164" s="112"/>
      <c r="EB164" s="113"/>
      <c r="EC164" s="105"/>
      <c r="ED164" s="113"/>
      <c r="EE164" s="113"/>
      <c r="EF164" s="105"/>
      <c r="EG164" s="113"/>
      <c r="EH164" s="113"/>
      <c r="EI164" s="112"/>
      <c r="EJ164" s="113"/>
      <c r="EK164" s="105"/>
      <c r="EL164" s="146"/>
      <c r="EM164" s="72"/>
      <c r="EN164" s="74"/>
      <c r="EO164" s="73"/>
      <c r="EP164" s="72" t="s">
        <v>96</v>
      </c>
      <c r="EQ164" s="72"/>
      <c r="ER164" s="75"/>
      <c r="ES164" s="76"/>
      <c r="ET164" s="77"/>
      <c r="EU164" s="77"/>
      <c r="EV164" s="78"/>
      <c r="EW164" s="72"/>
      <c r="EX164" s="72"/>
      <c r="EY164" s="72"/>
      <c r="EZ164" s="72"/>
      <c r="FA164" s="72"/>
      <c r="FB164" s="78"/>
      <c r="FC164" s="78"/>
      <c r="FD164" s="146"/>
      <c r="FE164" s="78"/>
      <c r="FF164" s="78"/>
      <c r="FG164" s="78"/>
      <c r="FO164" s="146"/>
      <c r="FP164" s="78"/>
      <c r="FQ164" s="78"/>
      <c r="FR164" s="78"/>
    </row>
    <row r="165" spans="1:181" s="71" customFormat="1" ht="16.350000000000001" customHeight="1" x14ac:dyDescent="0.25">
      <c r="A165" s="109"/>
      <c r="B165" s="70"/>
      <c r="C165" s="110"/>
      <c r="D165" s="110">
        <v>1</v>
      </c>
      <c r="E165" s="146"/>
      <c r="F165" s="109" t="str">
        <f>mehrsprachigkeitBegriffsrückgabe(gewählteSpracheZurückgeben(), "Product")</f>
        <v>Produkt</v>
      </c>
      <c r="G165" s="111" t="s">
        <v>271</v>
      </c>
      <c r="H165" s="111"/>
      <c r="I165" s="111" t="s">
        <v>86</v>
      </c>
      <c r="J165" s="111" t="s">
        <v>364</v>
      </c>
      <c r="K165" s="111"/>
      <c r="L165" s="146"/>
      <c r="M165" s="149" t="s">
        <v>392</v>
      </c>
      <c r="N165" s="111" t="s">
        <v>396</v>
      </c>
      <c r="O165" s="114"/>
      <c r="P165" s="114"/>
      <c r="Q165" s="111"/>
      <c r="R165" s="111"/>
      <c r="S165" s="111"/>
      <c r="T165" s="111"/>
      <c r="U165" s="111"/>
      <c r="V165" s="111"/>
      <c r="W165" s="111"/>
      <c r="X165" s="111"/>
      <c r="Y165" s="111"/>
      <c r="Z165" s="111"/>
      <c r="AA165" s="111"/>
      <c r="AB165" s="111"/>
      <c r="AC165" s="111"/>
      <c r="AD165" s="111"/>
      <c r="AE165" s="111"/>
      <c r="AF165" s="111"/>
      <c r="AG165" s="111"/>
      <c r="AH165" s="111"/>
      <c r="AI165" s="111"/>
      <c r="AJ165" s="111"/>
      <c r="AK165" s="111"/>
      <c r="AL165" s="111"/>
      <c r="AM165" s="111"/>
      <c r="AN165" s="111"/>
      <c r="AO165" s="111"/>
      <c r="AP165" s="111"/>
      <c r="AQ165" s="111"/>
      <c r="AR165" s="111"/>
      <c r="AS165" s="111"/>
      <c r="AT165" s="111"/>
      <c r="AU165" s="111"/>
      <c r="AV165" s="111"/>
      <c r="AW165" s="111"/>
      <c r="AX165" s="111"/>
      <c r="AY165" s="111"/>
      <c r="AZ165" s="111"/>
      <c r="BA165" s="146"/>
      <c r="BB165" s="104" t="s">
        <v>98</v>
      </c>
      <c r="BC165" s="72" t="s">
        <v>93</v>
      </c>
      <c r="BD165" s="72" t="s">
        <v>508</v>
      </c>
      <c r="BE165" s="72" t="s">
        <v>415</v>
      </c>
      <c r="BF165" s="146"/>
      <c r="BG165" s="112">
        <v>79.900000000000006</v>
      </c>
      <c r="BH165" s="113"/>
      <c r="BI165" s="146"/>
      <c r="BJ165" s="105"/>
      <c r="BK165" s="113"/>
      <c r="BL165" s="113"/>
      <c r="BM165" s="105"/>
      <c r="BN165" s="113"/>
      <c r="BO165" s="152"/>
      <c r="BP165" s="146"/>
      <c r="BQ165" s="112" t="s">
        <v>113</v>
      </c>
      <c r="BR165" s="113"/>
      <c r="BS165" s="105"/>
      <c r="BT165" s="146"/>
      <c r="BU165" s="105"/>
      <c r="BV165" s="105"/>
      <c r="BW165" s="112"/>
      <c r="BX165" s="113"/>
      <c r="BY165" s="105"/>
      <c r="BZ165" s="113"/>
      <c r="CA165" s="113"/>
      <c r="CB165" s="105"/>
      <c r="CC165" s="113"/>
      <c r="CD165" s="152"/>
      <c r="CE165" s="112"/>
      <c r="CF165" s="113"/>
      <c r="CG165" s="105"/>
      <c r="CH165" s="146"/>
      <c r="CI165" s="105"/>
      <c r="CJ165" s="105"/>
      <c r="CK165" s="112"/>
      <c r="CL165" s="113"/>
      <c r="CM165" s="105"/>
      <c r="CN165" s="152"/>
      <c r="CO165" s="152"/>
      <c r="CP165" s="105"/>
      <c r="CQ165" s="113"/>
      <c r="CR165" s="152"/>
      <c r="CS165" s="112"/>
      <c r="CT165" s="113"/>
      <c r="CU165" s="105"/>
      <c r="CV165" s="146"/>
      <c r="CW165" s="105"/>
      <c r="CX165" s="105"/>
      <c r="CY165" s="112"/>
      <c r="CZ165" s="113"/>
      <c r="DA165" s="105"/>
      <c r="DB165" s="113"/>
      <c r="DC165" s="113"/>
      <c r="DD165" s="105"/>
      <c r="DE165" s="113"/>
      <c r="DF165" s="113"/>
      <c r="DG165" s="112"/>
      <c r="DH165" s="113"/>
      <c r="DI165" s="105"/>
      <c r="DJ165" s="146"/>
      <c r="DK165" s="105"/>
      <c r="DL165" s="105"/>
      <c r="DM165" s="112"/>
      <c r="DN165" s="113"/>
      <c r="DO165" s="105"/>
      <c r="DP165" s="113"/>
      <c r="DQ165" s="113"/>
      <c r="DR165" s="105"/>
      <c r="DS165" s="113"/>
      <c r="DT165" s="113"/>
      <c r="DU165" s="112"/>
      <c r="DV165" s="113"/>
      <c r="DW165" s="105"/>
      <c r="DX165" s="146"/>
      <c r="DY165" s="105"/>
      <c r="DZ165" s="105"/>
      <c r="EA165" s="112"/>
      <c r="EB165" s="113"/>
      <c r="EC165" s="105"/>
      <c r="ED165" s="113"/>
      <c r="EE165" s="113"/>
      <c r="EF165" s="105"/>
      <c r="EG165" s="113"/>
      <c r="EH165" s="113"/>
      <c r="EI165" s="112"/>
      <c r="EJ165" s="113"/>
      <c r="EK165" s="105"/>
      <c r="EL165" s="146"/>
      <c r="EM165" s="72" t="s">
        <v>115</v>
      </c>
      <c r="EN165" s="74">
        <v>2250</v>
      </c>
      <c r="EO165" s="73"/>
      <c r="EP165" s="72" t="s">
        <v>77</v>
      </c>
      <c r="EQ165" s="72"/>
      <c r="ER165" s="75"/>
      <c r="ES165" s="76"/>
      <c r="ET165" s="77"/>
      <c r="EU165" s="77"/>
      <c r="EV165" s="78"/>
      <c r="EW165" s="72"/>
      <c r="EX165" s="72"/>
      <c r="EY165" s="72" t="s">
        <v>100</v>
      </c>
      <c r="EZ165" s="72" t="s">
        <v>114</v>
      </c>
      <c r="FA165" s="72"/>
      <c r="FB165" s="78"/>
      <c r="FC165" s="78"/>
      <c r="FD165" s="146"/>
      <c r="FE165" s="78"/>
      <c r="FF165" s="78"/>
      <c r="FG165" s="78"/>
      <c r="FH165" s="78"/>
      <c r="FI165" s="78"/>
      <c r="FJ165" s="78"/>
      <c r="FK165" s="78"/>
      <c r="FL165" s="78"/>
      <c r="FM165" s="78"/>
      <c r="FN165" s="78"/>
      <c r="FO165" s="146"/>
      <c r="FP165" s="78"/>
      <c r="FQ165" s="78"/>
      <c r="FR165" s="78"/>
      <c r="FS165" s="78"/>
      <c r="FT165" s="78"/>
      <c r="FU165" s="78"/>
      <c r="FV165" s="78"/>
      <c r="FW165" s="78"/>
      <c r="FX165" s="78"/>
      <c r="FY165" s="78"/>
    </row>
    <row r="166" spans="1:181" s="71" customFormat="1" ht="16.350000000000001" customHeight="1" x14ac:dyDescent="0.25">
      <c r="A166" s="109"/>
      <c r="B166" s="70"/>
      <c r="C166" s="110"/>
      <c r="D166" s="110"/>
      <c r="E166" s="146"/>
      <c r="F166" s="109" t="str">
        <f>mehrsprachigkeitBegriffsrückgabe(gewählteSpracheZurückgeben(), "Product (foreign language)")</f>
        <v>Produkt (Fremdsprache)</v>
      </c>
      <c r="G166" s="111"/>
      <c r="H166" s="111" t="s">
        <v>271</v>
      </c>
      <c r="I166" s="111" t="s">
        <v>94</v>
      </c>
      <c r="J166" s="111" t="s">
        <v>316</v>
      </c>
      <c r="K166" s="111"/>
      <c r="L166" s="146"/>
      <c r="M166" s="149"/>
      <c r="N166" s="111"/>
      <c r="O166" s="111"/>
      <c r="P166" s="111"/>
      <c r="Q166" s="111"/>
      <c r="R166" s="111"/>
      <c r="S166" s="111"/>
      <c r="T166" s="111"/>
      <c r="U166" s="111"/>
      <c r="V166" s="111"/>
      <c r="W166" s="111"/>
      <c r="X166" s="111"/>
      <c r="Y166" s="111"/>
      <c r="Z166" s="111"/>
      <c r="AA166" s="111"/>
      <c r="AB166" s="111"/>
      <c r="AC166" s="111"/>
      <c r="AD166" s="111"/>
      <c r="AE166" s="111"/>
      <c r="AF166" s="111"/>
      <c r="AG166" s="111"/>
      <c r="AH166" s="111"/>
      <c r="AI166" s="111"/>
      <c r="AJ166" s="111"/>
      <c r="AK166" s="111"/>
      <c r="AL166" s="111"/>
      <c r="AM166" s="111"/>
      <c r="AN166" s="111"/>
      <c r="AO166" s="111"/>
      <c r="AP166" s="111"/>
      <c r="AQ166" s="111"/>
      <c r="AR166" s="111"/>
      <c r="AS166" s="111"/>
      <c r="AT166" s="111"/>
      <c r="AU166" s="111"/>
      <c r="AV166" s="111"/>
      <c r="AW166" s="111"/>
      <c r="AX166" s="111"/>
      <c r="AY166" s="111"/>
      <c r="AZ166" s="111"/>
      <c r="BA166" s="146"/>
      <c r="BB166" s="104" t="s">
        <v>99</v>
      </c>
      <c r="BC166" s="72" t="s">
        <v>95</v>
      </c>
      <c r="BD166" s="72"/>
      <c r="BE166" s="72"/>
      <c r="BF166" s="146"/>
      <c r="BG166" s="112" t="s">
        <v>113</v>
      </c>
      <c r="BH166" s="113"/>
      <c r="BI166" s="146"/>
      <c r="BJ166" s="105"/>
      <c r="BK166" s="113"/>
      <c r="BL166" s="113"/>
      <c r="BM166" s="105"/>
      <c r="BN166" s="113"/>
      <c r="BO166" s="113"/>
      <c r="BP166" s="146"/>
      <c r="BQ166" s="112" t="s">
        <v>113</v>
      </c>
      <c r="BR166" s="113"/>
      <c r="BS166" s="105"/>
      <c r="BT166" s="146"/>
      <c r="BU166" s="105"/>
      <c r="BV166" s="105"/>
      <c r="BW166" s="112"/>
      <c r="BX166" s="113"/>
      <c r="BY166" s="105"/>
      <c r="BZ166" s="113"/>
      <c r="CA166" s="113"/>
      <c r="CB166" s="105"/>
      <c r="CC166" s="113"/>
      <c r="CD166" s="113"/>
      <c r="CE166" s="112"/>
      <c r="CF166" s="113"/>
      <c r="CG166" s="105"/>
      <c r="CH166" s="146"/>
      <c r="CI166" s="105"/>
      <c r="CJ166" s="105"/>
      <c r="CK166" s="112"/>
      <c r="CL166" s="113"/>
      <c r="CM166" s="105"/>
      <c r="CN166" s="113"/>
      <c r="CO166" s="113"/>
      <c r="CP166" s="105"/>
      <c r="CQ166" s="113"/>
      <c r="CR166" s="113"/>
      <c r="CS166" s="112"/>
      <c r="CT166" s="113"/>
      <c r="CU166" s="105"/>
      <c r="CV166" s="146"/>
      <c r="CW166" s="105"/>
      <c r="CX166" s="105"/>
      <c r="CY166" s="112"/>
      <c r="CZ166" s="113"/>
      <c r="DA166" s="105"/>
      <c r="DB166" s="113"/>
      <c r="DC166" s="113"/>
      <c r="DD166" s="105"/>
      <c r="DE166" s="113"/>
      <c r="DF166" s="113"/>
      <c r="DG166" s="112"/>
      <c r="DH166" s="113"/>
      <c r="DI166" s="105"/>
      <c r="DJ166" s="146"/>
      <c r="DK166" s="105"/>
      <c r="DL166" s="105"/>
      <c r="DM166" s="112"/>
      <c r="DN166" s="113"/>
      <c r="DO166" s="105"/>
      <c r="DP166" s="113"/>
      <c r="DQ166" s="113"/>
      <c r="DR166" s="105"/>
      <c r="DS166" s="113"/>
      <c r="DT166" s="113"/>
      <c r="DU166" s="112"/>
      <c r="DV166" s="113"/>
      <c r="DW166" s="105"/>
      <c r="DX166" s="146"/>
      <c r="DY166" s="105"/>
      <c r="DZ166" s="105"/>
      <c r="EA166" s="112"/>
      <c r="EB166" s="113"/>
      <c r="EC166" s="105"/>
      <c r="ED166" s="113"/>
      <c r="EE166" s="113"/>
      <c r="EF166" s="105"/>
      <c r="EG166" s="113"/>
      <c r="EH166" s="113"/>
      <c r="EI166" s="112"/>
      <c r="EJ166" s="113"/>
      <c r="EK166" s="105"/>
      <c r="EL166" s="146"/>
      <c r="EM166" s="72"/>
      <c r="EN166" s="74"/>
      <c r="EO166" s="73"/>
      <c r="EP166" s="72" t="s">
        <v>96</v>
      </c>
      <c r="EQ166" s="72"/>
      <c r="ER166" s="75"/>
      <c r="ES166" s="76"/>
      <c r="ET166" s="77"/>
      <c r="EU166" s="77"/>
      <c r="EV166" s="78"/>
      <c r="EW166" s="72"/>
      <c r="EX166" s="72"/>
      <c r="EY166" s="72"/>
      <c r="EZ166" s="72"/>
      <c r="FA166" s="72"/>
      <c r="FB166" s="78"/>
      <c r="FC166" s="78"/>
      <c r="FD166" s="146"/>
      <c r="FE166" s="78"/>
      <c r="FF166" s="78"/>
      <c r="FG166" s="78"/>
      <c r="FO166" s="146"/>
      <c r="FP166" s="78"/>
      <c r="FQ166" s="78"/>
      <c r="FR166" s="78"/>
    </row>
    <row r="167" spans="1:181" s="71" customFormat="1" ht="16.350000000000001" customHeight="1" x14ac:dyDescent="0.25">
      <c r="A167" s="109"/>
      <c r="B167" s="70"/>
      <c r="C167" s="110"/>
      <c r="D167" s="110">
        <v>1</v>
      </c>
      <c r="E167" s="146"/>
      <c r="F167" s="109" t="str">
        <f>mehrsprachigkeitBegriffsrückgabe(gewählteSpracheZurückgeben(), "Product")</f>
        <v>Produkt</v>
      </c>
      <c r="G167" s="111" t="s">
        <v>272</v>
      </c>
      <c r="H167" s="111"/>
      <c r="I167" s="111" t="s">
        <v>86</v>
      </c>
      <c r="J167" s="111" t="s">
        <v>365</v>
      </c>
      <c r="K167" s="111"/>
      <c r="L167" s="146"/>
      <c r="M167" s="149" t="s">
        <v>392</v>
      </c>
      <c r="N167" s="111" t="s">
        <v>395</v>
      </c>
      <c r="O167" s="114"/>
      <c r="P167" s="114"/>
      <c r="Q167" s="111"/>
      <c r="R167" s="111"/>
      <c r="S167" s="111"/>
      <c r="T167" s="111"/>
      <c r="U167" s="111"/>
      <c r="V167" s="111"/>
      <c r="W167" s="111"/>
      <c r="X167" s="111"/>
      <c r="Y167" s="111"/>
      <c r="Z167" s="111"/>
      <c r="AA167" s="111"/>
      <c r="AB167" s="111"/>
      <c r="AC167" s="111"/>
      <c r="AD167" s="111"/>
      <c r="AE167" s="111"/>
      <c r="AF167" s="111"/>
      <c r="AG167" s="111"/>
      <c r="AH167" s="111"/>
      <c r="AI167" s="111"/>
      <c r="AJ167" s="111"/>
      <c r="AK167" s="111"/>
      <c r="AL167" s="111"/>
      <c r="AM167" s="111"/>
      <c r="AN167" s="111"/>
      <c r="AO167" s="111"/>
      <c r="AP167" s="111"/>
      <c r="AQ167" s="111"/>
      <c r="AR167" s="111"/>
      <c r="AS167" s="111"/>
      <c r="AT167" s="111"/>
      <c r="AU167" s="111"/>
      <c r="AV167" s="111"/>
      <c r="AW167" s="111"/>
      <c r="AX167" s="111"/>
      <c r="AY167" s="111"/>
      <c r="AZ167" s="111"/>
      <c r="BA167" s="146"/>
      <c r="BB167" s="104" t="s">
        <v>98</v>
      </c>
      <c r="BC167" s="72" t="s">
        <v>93</v>
      </c>
      <c r="BD167" s="72" t="s">
        <v>508</v>
      </c>
      <c r="BE167" s="72" t="s">
        <v>412</v>
      </c>
      <c r="BF167" s="146"/>
      <c r="BG167" s="112">
        <v>49.9</v>
      </c>
      <c r="BH167" s="113"/>
      <c r="BI167" s="146"/>
      <c r="BJ167" s="105"/>
      <c r="BK167" s="113"/>
      <c r="BL167" s="113"/>
      <c r="BM167" s="105"/>
      <c r="BN167" s="113"/>
      <c r="BO167" s="152"/>
      <c r="BP167" s="146"/>
      <c r="BQ167" s="112" t="s">
        <v>113</v>
      </c>
      <c r="BR167" s="113"/>
      <c r="BS167" s="105"/>
      <c r="BT167" s="146"/>
      <c r="BU167" s="105"/>
      <c r="BV167" s="105"/>
      <c r="BW167" s="112"/>
      <c r="BX167" s="113"/>
      <c r="BY167" s="105"/>
      <c r="BZ167" s="113"/>
      <c r="CA167" s="113"/>
      <c r="CB167" s="105"/>
      <c r="CC167" s="113"/>
      <c r="CD167" s="152"/>
      <c r="CE167" s="112"/>
      <c r="CF167" s="113"/>
      <c r="CG167" s="105"/>
      <c r="CH167" s="146"/>
      <c r="CI167" s="105"/>
      <c r="CJ167" s="105"/>
      <c r="CK167" s="112"/>
      <c r="CL167" s="113"/>
      <c r="CM167" s="105"/>
      <c r="CN167" s="152"/>
      <c r="CO167" s="152"/>
      <c r="CP167" s="105"/>
      <c r="CQ167" s="113"/>
      <c r="CR167" s="152"/>
      <c r="CS167" s="112"/>
      <c r="CT167" s="113"/>
      <c r="CU167" s="105"/>
      <c r="CV167" s="146"/>
      <c r="CW167" s="105"/>
      <c r="CX167" s="105"/>
      <c r="CY167" s="112"/>
      <c r="CZ167" s="113"/>
      <c r="DA167" s="105"/>
      <c r="DB167" s="113"/>
      <c r="DC167" s="113"/>
      <c r="DD167" s="105"/>
      <c r="DE167" s="113"/>
      <c r="DF167" s="113"/>
      <c r="DG167" s="112"/>
      <c r="DH167" s="113"/>
      <c r="DI167" s="105"/>
      <c r="DJ167" s="146"/>
      <c r="DK167" s="105"/>
      <c r="DL167" s="105"/>
      <c r="DM167" s="112"/>
      <c r="DN167" s="113"/>
      <c r="DO167" s="105"/>
      <c r="DP167" s="113"/>
      <c r="DQ167" s="113"/>
      <c r="DR167" s="105"/>
      <c r="DS167" s="113"/>
      <c r="DT167" s="113"/>
      <c r="DU167" s="112"/>
      <c r="DV167" s="113"/>
      <c r="DW167" s="105"/>
      <c r="DX167" s="146"/>
      <c r="DY167" s="105"/>
      <c r="DZ167" s="105"/>
      <c r="EA167" s="112"/>
      <c r="EB167" s="113"/>
      <c r="EC167" s="105"/>
      <c r="ED167" s="113"/>
      <c r="EE167" s="113"/>
      <c r="EF167" s="105"/>
      <c r="EG167" s="113"/>
      <c r="EH167" s="113"/>
      <c r="EI167" s="112"/>
      <c r="EJ167" s="113"/>
      <c r="EK167" s="105"/>
      <c r="EL167" s="146"/>
      <c r="EM167" s="72" t="s">
        <v>115</v>
      </c>
      <c r="EN167" s="74">
        <v>2250</v>
      </c>
      <c r="EO167" s="73"/>
      <c r="EP167" s="72" t="s">
        <v>77</v>
      </c>
      <c r="EQ167" s="72"/>
      <c r="ER167" s="75"/>
      <c r="ES167" s="76"/>
      <c r="ET167" s="77">
        <v>1</v>
      </c>
      <c r="EU167" s="77"/>
      <c r="EV167" s="78"/>
      <c r="EW167" s="72"/>
      <c r="EX167" s="72"/>
      <c r="EY167" s="72" t="s">
        <v>100</v>
      </c>
      <c r="EZ167" s="72" t="s">
        <v>114</v>
      </c>
      <c r="FA167" s="72"/>
      <c r="FB167" s="78"/>
      <c r="FC167" s="78"/>
      <c r="FD167" s="146"/>
      <c r="FE167" s="78"/>
      <c r="FF167" s="78"/>
      <c r="FG167" s="78"/>
      <c r="FH167" s="78"/>
      <c r="FI167" s="78"/>
      <c r="FJ167" s="78"/>
      <c r="FK167" s="78"/>
      <c r="FL167" s="78"/>
      <c r="FM167" s="78"/>
      <c r="FN167" s="78"/>
      <c r="FO167" s="146"/>
      <c r="FP167" s="78"/>
      <c r="FQ167" s="78"/>
      <c r="FR167" s="78"/>
      <c r="FS167" s="78"/>
      <c r="FT167" s="78"/>
      <c r="FU167" s="78"/>
      <c r="FV167" s="78"/>
      <c r="FW167" s="78"/>
      <c r="FX167" s="78"/>
      <c r="FY167" s="78"/>
    </row>
    <row r="168" spans="1:181" s="71" customFormat="1" ht="16.350000000000001" customHeight="1" x14ac:dyDescent="0.25">
      <c r="A168" s="109"/>
      <c r="B168" s="70"/>
      <c r="C168" s="110"/>
      <c r="D168" s="110"/>
      <c r="E168" s="146"/>
      <c r="F168" s="109" t="str">
        <f>mehrsprachigkeitBegriffsrückgabe(gewählteSpracheZurückgeben(), "Product (foreign language)")</f>
        <v>Produkt (Fremdsprache)</v>
      </c>
      <c r="G168" s="111"/>
      <c r="H168" s="111" t="s">
        <v>272</v>
      </c>
      <c r="I168" s="111" t="s">
        <v>94</v>
      </c>
      <c r="J168" s="111" t="s">
        <v>317</v>
      </c>
      <c r="K168" s="111"/>
      <c r="L168" s="146"/>
      <c r="M168" s="149"/>
      <c r="N168" s="111"/>
      <c r="O168" s="111"/>
      <c r="P168" s="111"/>
      <c r="Q168" s="111"/>
      <c r="R168" s="111"/>
      <c r="S168" s="111"/>
      <c r="T168" s="111"/>
      <c r="U168" s="111"/>
      <c r="V168" s="111"/>
      <c r="W168" s="111"/>
      <c r="X168" s="111"/>
      <c r="Y168" s="111"/>
      <c r="Z168" s="111"/>
      <c r="AA168" s="111"/>
      <c r="AB168" s="111"/>
      <c r="AC168" s="111"/>
      <c r="AD168" s="111"/>
      <c r="AE168" s="111"/>
      <c r="AF168" s="111"/>
      <c r="AG168" s="111"/>
      <c r="AH168" s="111"/>
      <c r="AI168" s="111"/>
      <c r="AJ168" s="111"/>
      <c r="AK168" s="111"/>
      <c r="AL168" s="111"/>
      <c r="AM168" s="111"/>
      <c r="AN168" s="111"/>
      <c r="AO168" s="111"/>
      <c r="AP168" s="111"/>
      <c r="AQ168" s="111"/>
      <c r="AR168" s="111"/>
      <c r="AS168" s="111"/>
      <c r="AT168" s="111"/>
      <c r="AU168" s="111"/>
      <c r="AV168" s="111"/>
      <c r="AW168" s="111"/>
      <c r="AX168" s="111"/>
      <c r="AY168" s="111"/>
      <c r="AZ168" s="111"/>
      <c r="BA168" s="146"/>
      <c r="BB168" s="104" t="s">
        <v>99</v>
      </c>
      <c r="BC168" s="72" t="s">
        <v>95</v>
      </c>
      <c r="BD168" s="72"/>
      <c r="BE168" s="72"/>
      <c r="BF168" s="146"/>
      <c r="BG168" s="112" t="s">
        <v>113</v>
      </c>
      <c r="BH168" s="113"/>
      <c r="BI168" s="146"/>
      <c r="BJ168" s="105"/>
      <c r="BK168" s="113"/>
      <c r="BL168" s="113"/>
      <c r="BM168" s="105"/>
      <c r="BN168" s="113"/>
      <c r="BO168" s="113"/>
      <c r="BP168" s="146"/>
      <c r="BQ168" s="112" t="s">
        <v>113</v>
      </c>
      <c r="BR168" s="113"/>
      <c r="BS168" s="105"/>
      <c r="BT168" s="146"/>
      <c r="BU168" s="105"/>
      <c r="BV168" s="105"/>
      <c r="BW168" s="112"/>
      <c r="BX168" s="113"/>
      <c r="BY168" s="105"/>
      <c r="BZ168" s="113"/>
      <c r="CA168" s="113"/>
      <c r="CB168" s="105"/>
      <c r="CC168" s="113"/>
      <c r="CD168" s="113"/>
      <c r="CE168" s="112"/>
      <c r="CF168" s="113"/>
      <c r="CG168" s="105"/>
      <c r="CH168" s="146"/>
      <c r="CI168" s="105"/>
      <c r="CJ168" s="105"/>
      <c r="CK168" s="112"/>
      <c r="CL168" s="113"/>
      <c r="CM168" s="105"/>
      <c r="CN168" s="113"/>
      <c r="CO168" s="113"/>
      <c r="CP168" s="105"/>
      <c r="CQ168" s="113"/>
      <c r="CR168" s="113"/>
      <c r="CS168" s="112"/>
      <c r="CT168" s="113"/>
      <c r="CU168" s="105"/>
      <c r="CV168" s="146"/>
      <c r="CW168" s="105"/>
      <c r="CX168" s="105"/>
      <c r="CY168" s="112"/>
      <c r="CZ168" s="113"/>
      <c r="DA168" s="105"/>
      <c r="DB168" s="113"/>
      <c r="DC168" s="113"/>
      <c r="DD168" s="105"/>
      <c r="DE168" s="113"/>
      <c r="DF168" s="113"/>
      <c r="DG168" s="112"/>
      <c r="DH168" s="113"/>
      <c r="DI168" s="105"/>
      <c r="DJ168" s="146"/>
      <c r="DK168" s="105"/>
      <c r="DL168" s="105"/>
      <c r="DM168" s="112"/>
      <c r="DN168" s="113"/>
      <c r="DO168" s="105"/>
      <c r="DP168" s="113"/>
      <c r="DQ168" s="113"/>
      <c r="DR168" s="105"/>
      <c r="DS168" s="113"/>
      <c r="DT168" s="113"/>
      <c r="DU168" s="112"/>
      <c r="DV168" s="113"/>
      <c r="DW168" s="105"/>
      <c r="DX168" s="146"/>
      <c r="DY168" s="105"/>
      <c r="DZ168" s="105"/>
      <c r="EA168" s="112"/>
      <c r="EB168" s="113"/>
      <c r="EC168" s="105"/>
      <c r="ED168" s="113"/>
      <c r="EE168" s="113"/>
      <c r="EF168" s="105"/>
      <c r="EG168" s="113"/>
      <c r="EH168" s="113"/>
      <c r="EI168" s="112"/>
      <c r="EJ168" s="113"/>
      <c r="EK168" s="105"/>
      <c r="EL168" s="146"/>
      <c r="EM168" s="72"/>
      <c r="EN168" s="74"/>
      <c r="EO168" s="73"/>
      <c r="EP168" s="72" t="s">
        <v>96</v>
      </c>
      <c r="EQ168" s="72"/>
      <c r="ER168" s="75"/>
      <c r="ES168" s="76"/>
      <c r="ET168" s="77"/>
      <c r="EU168" s="77"/>
      <c r="EV168" s="78"/>
      <c r="EW168" s="72"/>
      <c r="EX168" s="72"/>
      <c r="EY168" s="72"/>
      <c r="EZ168" s="72"/>
      <c r="FA168" s="72"/>
      <c r="FB168" s="78"/>
      <c r="FC168" s="78"/>
      <c r="FD168" s="146"/>
      <c r="FE168" s="78"/>
      <c r="FF168" s="78"/>
      <c r="FG168" s="78"/>
      <c r="FO168" s="146"/>
      <c r="FP168" s="78"/>
      <c r="FQ168" s="78"/>
      <c r="FR168" s="78"/>
    </row>
    <row r="169" spans="1:181" s="71" customFormat="1" ht="16.350000000000001" customHeight="1" x14ac:dyDescent="0.25">
      <c r="A169" s="109"/>
      <c r="B169" s="70"/>
      <c r="C169" s="110"/>
      <c r="D169" s="110">
        <v>1</v>
      </c>
      <c r="E169" s="146"/>
      <c r="F169" s="109" t="str">
        <f>mehrsprachigkeitBegriffsrückgabe(gewählteSpracheZurückgeben(), "Product")</f>
        <v>Produkt</v>
      </c>
      <c r="G169" s="111" t="s">
        <v>273</v>
      </c>
      <c r="H169" s="111"/>
      <c r="I169" s="111" t="s">
        <v>86</v>
      </c>
      <c r="J169" s="111" t="s">
        <v>366</v>
      </c>
      <c r="K169" s="111"/>
      <c r="L169" s="146"/>
      <c r="M169" s="149" t="s">
        <v>392</v>
      </c>
      <c r="N169" s="111" t="s">
        <v>400</v>
      </c>
      <c r="O169" s="114"/>
      <c r="P169" s="114"/>
      <c r="Q169" s="111"/>
      <c r="R169" s="111"/>
      <c r="S169" s="111"/>
      <c r="T169" s="111"/>
      <c r="U169" s="111"/>
      <c r="V169" s="111"/>
      <c r="W169" s="111"/>
      <c r="X169" s="111"/>
      <c r="Y169" s="111"/>
      <c r="Z169" s="111"/>
      <c r="AA169" s="111"/>
      <c r="AB169" s="111"/>
      <c r="AC169" s="111"/>
      <c r="AD169" s="111"/>
      <c r="AE169" s="111"/>
      <c r="AF169" s="111"/>
      <c r="AG169" s="111"/>
      <c r="AH169" s="111"/>
      <c r="AI169" s="111"/>
      <c r="AJ169" s="111"/>
      <c r="AK169" s="111"/>
      <c r="AL169" s="111"/>
      <c r="AM169" s="111"/>
      <c r="AN169" s="111"/>
      <c r="AO169" s="111"/>
      <c r="AP169" s="111"/>
      <c r="AQ169" s="111"/>
      <c r="AR169" s="111"/>
      <c r="AS169" s="111"/>
      <c r="AT169" s="111"/>
      <c r="AU169" s="111"/>
      <c r="AV169" s="111"/>
      <c r="AW169" s="111"/>
      <c r="AX169" s="111"/>
      <c r="AY169" s="111"/>
      <c r="AZ169" s="111"/>
      <c r="BA169" s="146"/>
      <c r="BB169" s="104" t="s">
        <v>98</v>
      </c>
      <c r="BC169" s="72" t="s">
        <v>93</v>
      </c>
      <c r="BD169" s="72" t="s">
        <v>508</v>
      </c>
      <c r="BE169" s="72" t="s">
        <v>416</v>
      </c>
      <c r="BF169" s="146"/>
      <c r="BG169" s="112">
        <v>44.9</v>
      </c>
      <c r="BH169" s="113"/>
      <c r="BI169" s="146"/>
      <c r="BJ169" s="105"/>
      <c r="BK169" s="113"/>
      <c r="BL169" s="113"/>
      <c r="BM169" s="105"/>
      <c r="BN169" s="113"/>
      <c r="BO169" s="152"/>
      <c r="BP169" s="146"/>
      <c r="BQ169" s="112" t="s">
        <v>113</v>
      </c>
      <c r="BR169" s="113"/>
      <c r="BS169" s="105"/>
      <c r="BT169" s="146"/>
      <c r="BU169" s="105"/>
      <c r="BV169" s="105"/>
      <c r="BW169" s="112"/>
      <c r="BX169" s="113"/>
      <c r="BY169" s="105"/>
      <c r="BZ169" s="113"/>
      <c r="CA169" s="113"/>
      <c r="CB169" s="105"/>
      <c r="CC169" s="113"/>
      <c r="CD169" s="152"/>
      <c r="CE169" s="112"/>
      <c r="CF169" s="113"/>
      <c r="CG169" s="105"/>
      <c r="CH169" s="146"/>
      <c r="CI169" s="105"/>
      <c r="CJ169" s="105"/>
      <c r="CK169" s="112"/>
      <c r="CL169" s="113"/>
      <c r="CM169" s="105"/>
      <c r="CN169" s="152"/>
      <c r="CO169" s="152"/>
      <c r="CP169" s="105"/>
      <c r="CQ169" s="113"/>
      <c r="CR169" s="152"/>
      <c r="CS169" s="112"/>
      <c r="CT169" s="113"/>
      <c r="CU169" s="105"/>
      <c r="CV169" s="146"/>
      <c r="CW169" s="105"/>
      <c r="CX169" s="105"/>
      <c r="CY169" s="112"/>
      <c r="CZ169" s="113"/>
      <c r="DA169" s="105"/>
      <c r="DB169" s="113"/>
      <c r="DC169" s="113"/>
      <c r="DD169" s="105"/>
      <c r="DE169" s="113"/>
      <c r="DF169" s="113"/>
      <c r="DG169" s="112"/>
      <c r="DH169" s="113"/>
      <c r="DI169" s="105"/>
      <c r="DJ169" s="146"/>
      <c r="DK169" s="105"/>
      <c r="DL169" s="105"/>
      <c r="DM169" s="112"/>
      <c r="DN169" s="113"/>
      <c r="DO169" s="105"/>
      <c r="DP169" s="113"/>
      <c r="DQ169" s="113"/>
      <c r="DR169" s="105"/>
      <c r="DS169" s="113"/>
      <c r="DT169" s="113"/>
      <c r="DU169" s="112"/>
      <c r="DV169" s="113"/>
      <c r="DW169" s="105"/>
      <c r="DX169" s="146"/>
      <c r="DY169" s="105"/>
      <c r="DZ169" s="105"/>
      <c r="EA169" s="112"/>
      <c r="EB169" s="113"/>
      <c r="EC169" s="105"/>
      <c r="ED169" s="113"/>
      <c r="EE169" s="113"/>
      <c r="EF169" s="105"/>
      <c r="EG169" s="113"/>
      <c r="EH169" s="113"/>
      <c r="EI169" s="112"/>
      <c r="EJ169" s="113"/>
      <c r="EK169" s="105"/>
      <c r="EL169" s="146"/>
      <c r="EM169" s="72" t="s">
        <v>115</v>
      </c>
      <c r="EN169" s="74">
        <v>2250</v>
      </c>
      <c r="EO169" s="73"/>
      <c r="EP169" s="72" t="s">
        <v>77</v>
      </c>
      <c r="EQ169" s="72"/>
      <c r="ER169" s="75"/>
      <c r="ES169" s="76"/>
      <c r="ET169" s="77">
        <v>1</v>
      </c>
      <c r="EU169" s="77"/>
      <c r="EV169" s="78"/>
      <c r="EW169" s="72"/>
      <c r="EX169" s="72"/>
      <c r="EY169" s="72" t="s">
        <v>100</v>
      </c>
      <c r="EZ169" s="72" t="s">
        <v>114</v>
      </c>
      <c r="FA169" s="72"/>
      <c r="FB169" s="78"/>
      <c r="FC169" s="78"/>
      <c r="FD169" s="146"/>
      <c r="FE169" s="78"/>
      <c r="FF169" s="78"/>
      <c r="FG169" s="78"/>
      <c r="FH169" s="78"/>
      <c r="FI169" s="78"/>
      <c r="FJ169" s="78"/>
      <c r="FK169" s="78"/>
      <c r="FL169" s="78"/>
      <c r="FM169" s="78"/>
      <c r="FN169" s="78"/>
      <c r="FO169" s="146"/>
      <c r="FP169" s="78"/>
      <c r="FQ169" s="78"/>
      <c r="FR169" s="78"/>
      <c r="FS169" s="78"/>
      <c r="FT169" s="78"/>
      <c r="FU169" s="78"/>
      <c r="FV169" s="78"/>
      <c r="FW169" s="78"/>
      <c r="FX169" s="78"/>
      <c r="FY169" s="78"/>
    </row>
    <row r="170" spans="1:181" s="71" customFormat="1" ht="16.350000000000001" customHeight="1" x14ac:dyDescent="0.25">
      <c r="A170" s="109"/>
      <c r="B170" s="70"/>
      <c r="C170" s="110"/>
      <c r="D170" s="110"/>
      <c r="E170" s="146"/>
      <c r="F170" s="109" t="str">
        <f>mehrsprachigkeitBegriffsrückgabe(gewählteSpracheZurückgeben(), "Product (foreign language)")</f>
        <v>Produkt (Fremdsprache)</v>
      </c>
      <c r="G170" s="111"/>
      <c r="H170" s="111" t="s">
        <v>273</v>
      </c>
      <c r="I170" s="111" t="s">
        <v>94</v>
      </c>
      <c r="J170" s="111" t="s">
        <v>318</v>
      </c>
      <c r="K170" s="111"/>
      <c r="L170" s="146"/>
      <c r="M170" s="149"/>
      <c r="N170" s="111"/>
      <c r="O170" s="111"/>
      <c r="P170" s="111"/>
      <c r="Q170" s="111"/>
      <c r="R170" s="111"/>
      <c r="S170" s="111"/>
      <c r="T170" s="111"/>
      <c r="U170" s="111"/>
      <c r="V170" s="111"/>
      <c r="W170" s="111"/>
      <c r="X170" s="111"/>
      <c r="Y170" s="111"/>
      <c r="Z170" s="111"/>
      <c r="AA170" s="111"/>
      <c r="AB170" s="111"/>
      <c r="AC170" s="111"/>
      <c r="AD170" s="111"/>
      <c r="AE170" s="111"/>
      <c r="AF170" s="111"/>
      <c r="AG170" s="111"/>
      <c r="AH170" s="111"/>
      <c r="AI170" s="111"/>
      <c r="AJ170" s="111"/>
      <c r="AK170" s="111"/>
      <c r="AL170" s="111"/>
      <c r="AM170" s="111"/>
      <c r="AN170" s="111"/>
      <c r="AO170" s="111"/>
      <c r="AP170" s="111"/>
      <c r="AQ170" s="111"/>
      <c r="AR170" s="111"/>
      <c r="AS170" s="111"/>
      <c r="AT170" s="111"/>
      <c r="AU170" s="111"/>
      <c r="AV170" s="111"/>
      <c r="AW170" s="111"/>
      <c r="AX170" s="111"/>
      <c r="AY170" s="111"/>
      <c r="AZ170" s="111"/>
      <c r="BA170" s="146"/>
      <c r="BB170" s="104" t="s">
        <v>99</v>
      </c>
      <c r="BC170" s="72" t="s">
        <v>95</v>
      </c>
      <c r="BD170" s="72"/>
      <c r="BE170" s="72"/>
      <c r="BF170" s="146"/>
      <c r="BG170" s="112" t="s">
        <v>113</v>
      </c>
      <c r="BH170" s="113"/>
      <c r="BI170" s="146"/>
      <c r="BJ170" s="105"/>
      <c r="BK170" s="113"/>
      <c r="BL170" s="113"/>
      <c r="BM170" s="105"/>
      <c r="BN170" s="113"/>
      <c r="BO170" s="113"/>
      <c r="BP170" s="146"/>
      <c r="BQ170" s="112" t="s">
        <v>113</v>
      </c>
      <c r="BR170" s="113"/>
      <c r="BS170" s="105"/>
      <c r="BT170" s="146"/>
      <c r="BU170" s="105"/>
      <c r="BV170" s="105"/>
      <c r="BW170" s="112"/>
      <c r="BX170" s="113"/>
      <c r="BY170" s="105"/>
      <c r="BZ170" s="113"/>
      <c r="CA170" s="113"/>
      <c r="CB170" s="105"/>
      <c r="CC170" s="113"/>
      <c r="CD170" s="113"/>
      <c r="CE170" s="112"/>
      <c r="CF170" s="113"/>
      <c r="CG170" s="105"/>
      <c r="CH170" s="146"/>
      <c r="CI170" s="105"/>
      <c r="CJ170" s="105"/>
      <c r="CK170" s="112"/>
      <c r="CL170" s="113"/>
      <c r="CM170" s="105"/>
      <c r="CN170" s="113"/>
      <c r="CO170" s="113"/>
      <c r="CP170" s="105"/>
      <c r="CQ170" s="113"/>
      <c r="CR170" s="113"/>
      <c r="CS170" s="112"/>
      <c r="CT170" s="113"/>
      <c r="CU170" s="105"/>
      <c r="CV170" s="146"/>
      <c r="CW170" s="105"/>
      <c r="CX170" s="105"/>
      <c r="CY170" s="112"/>
      <c r="CZ170" s="113"/>
      <c r="DA170" s="105"/>
      <c r="DB170" s="113"/>
      <c r="DC170" s="113"/>
      <c r="DD170" s="105"/>
      <c r="DE170" s="113"/>
      <c r="DF170" s="113"/>
      <c r="DG170" s="112"/>
      <c r="DH170" s="113"/>
      <c r="DI170" s="105"/>
      <c r="DJ170" s="146"/>
      <c r="DK170" s="105"/>
      <c r="DL170" s="105"/>
      <c r="DM170" s="112"/>
      <c r="DN170" s="113"/>
      <c r="DO170" s="105"/>
      <c r="DP170" s="113"/>
      <c r="DQ170" s="113"/>
      <c r="DR170" s="105"/>
      <c r="DS170" s="113"/>
      <c r="DT170" s="113"/>
      <c r="DU170" s="112"/>
      <c r="DV170" s="113"/>
      <c r="DW170" s="105"/>
      <c r="DX170" s="146"/>
      <c r="DY170" s="105"/>
      <c r="DZ170" s="105"/>
      <c r="EA170" s="112"/>
      <c r="EB170" s="113"/>
      <c r="EC170" s="105"/>
      <c r="ED170" s="113"/>
      <c r="EE170" s="113"/>
      <c r="EF170" s="105"/>
      <c r="EG170" s="113"/>
      <c r="EH170" s="113"/>
      <c r="EI170" s="112"/>
      <c r="EJ170" s="113"/>
      <c r="EK170" s="105"/>
      <c r="EL170" s="146"/>
      <c r="EM170" s="72"/>
      <c r="EN170" s="74"/>
      <c r="EO170" s="73"/>
      <c r="EP170" s="72" t="s">
        <v>96</v>
      </c>
      <c r="EQ170" s="72"/>
      <c r="ER170" s="75"/>
      <c r="ES170" s="76"/>
      <c r="ET170" s="77"/>
      <c r="EU170" s="77"/>
      <c r="EV170" s="78"/>
      <c r="EW170" s="72"/>
      <c r="EX170" s="72"/>
      <c r="EY170" s="72"/>
      <c r="EZ170" s="72"/>
      <c r="FA170" s="72"/>
      <c r="FB170" s="78"/>
      <c r="FC170" s="78"/>
      <c r="FD170" s="146"/>
      <c r="FE170" s="78"/>
      <c r="FF170" s="78"/>
      <c r="FG170" s="78"/>
      <c r="FO170" s="146"/>
      <c r="FP170" s="78"/>
      <c r="FQ170" s="78"/>
      <c r="FR170" s="78"/>
    </row>
    <row r="171" spans="1:181" s="71" customFormat="1" ht="16.350000000000001" customHeight="1" x14ac:dyDescent="0.25">
      <c r="A171" s="109"/>
      <c r="B171" s="70"/>
      <c r="C171" s="110"/>
      <c r="D171" s="110">
        <v>1</v>
      </c>
      <c r="E171" s="146"/>
      <c r="F171" s="109" t="str">
        <f>mehrsprachigkeitBegriffsrückgabe(gewählteSpracheZurückgeben(), "Product")</f>
        <v>Produkt</v>
      </c>
      <c r="G171" s="111" t="s">
        <v>274</v>
      </c>
      <c r="H171" s="111"/>
      <c r="I171" s="111" t="s">
        <v>86</v>
      </c>
      <c r="J171" s="111" t="s">
        <v>367</v>
      </c>
      <c r="K171" s="111"/>
      <c r="L171" s="146"/>
      <c r="M171" s="149" t="s">
        <v>392</v>
      </c>
      <c r="N171" s="111" t="s">
        <v>393</v>
      </c>
      <c r="O171" s="114"/>
      <c r="P171" s="114"/>
      <c r="Q171" s="111"/>
      <c r="R171" s="111"/>
      <c r="S171" s="111"/>
      <c r="T171" s="111"/>
      <c r="U171" s="111"/>
      <c r="V171" s="111"/>
      <c r="W171" s="111"/>
      <c r="X171" s="111"/>
      <c r="Y171" s="111"/>
      <c r="Z171" s="111"/>
      <c r="AA171" s="111"/>
      <c r="AB171" s="111"/>
      <c r="AC171" s="111"/>
      <c r="AD171" s="111"/>
      <c r="AE171" s="111"/>
      <c r="AF171" s="111"/>
      <c r="AG171" s="111"/>
      <c r="AH171" s="111"/>
      <c r="AI171" s="111"/>
      <c r="AJ171" s="111"/>
      <c r="AK171" s="111"/>
      <c r="AL171" s="111"/>
      <c r="AM171" s="111"/>
      <c r="AN171" s="111"/>
      <c r="AO171" s="111"/>
      <c r="AP171" s="111"/>
      <c r="AQ171" s="111"/>
      <c r="AR171" s="111"/>
      <c r="AS171" s="111"/>
      <c r="AT171" s="111"/>
      <c r="AU171" s="111"/>
      <c r="AV171" s="111"/>
      <c r="AW171" s="111"/>
      <c r="AX171" s="111"/>
      <c r="AY171" s="111"/>
      <c r="AZ171" s="111"/>
      <c r="BA171" s="146"/>
      <c r="BB171" s="104" t="s">
        <v>98</v>
      </c>
      <c r="BC171" s="72" t="s">
        <v>93</v>
      </c>
      <c r="BD171" s="72" t="s">
        <v>508</v>
      </c>
      <c r="BE171" s="72" t="s">
        <v>416</v>
      </c>
      <c r="BF171" s="146"/>
      <c r="BG171" s="112">
        <v>64.900000000000006</v>
      </c>
      <c r="BH171" s="113"/>
      <c r="BI171" s="146"/>
      <c r="BJ171" s="105"/>
      <c r="BK171" s="113"/>
      <c r="BL171" s="113"/>
      <c r="BM171" s="105"/>
      <c r="BN171" s="113"/>
      <c r="BO171" s="152"/>
      <c r="BP171" s="146"/>
      <c r="BQ171" s="112" t="s">
        <v>113</v>
      </c>
      <c r="BR171" s="113"/>
      <c r="BS171" s="105"/>
      <c r="BT171" s="146"/>
      <c r="BU171" s="105"/>
      <c r="BV171" s="105"/>
      <c r="BW171" s="112"/>
      <c r="BX171" s="113"/>
      <c r="BY171" s="105"/>
      <c r="BZ171" s="113"/>
      <c r="CA171" s="113"/>
      <c r="CB171" s="105"/>
      <c r="CC171" s="113"/>
      <c r="CD171" s="152"/>
      <c r="CE171" s="112"/>
      <c r="CF171" s="113"/>
      <c r="CG171" s="105"/>
      <c r="CH171" s="146"/>
      <c r="CI171" s="105"/>
      <c r="CJ171" s="105"/>
      <c r="CK171" s="112"/>
      <c r="CL171" s="113"/>
      <c r="CM171" s="105"/>
      <c r="CN171" s="152"/>
      <c r="CO171" s="152"/>
      <c r="CP171" s="105"/>
      <c r="CQ171" s="113"/>
      <c r="CR171" s="152"/>
      <c r="CS171" s="112"/>
      <c r="CT171" s="113"/>
      <c r="CU171" s="105"/>
      <c r="CV171" s="146"/>
      <c r="CW171" s="105"/>
      <c r="CX171" s="105"/>
      <c r="CY171" s="112"/>
      <c r="CZ171" s="113"/>
      <c r="DA171" s="105"/>
      <c r="DB171" s="113"/>
      <c r="DC171" s="113"/>
      <c r="DD171" s="105"/>
      <c r="DE171" s="113"/>
      <c r="DF171" s="113"/>
      <c r="DG171" s="112"/>
      <c r="DH171" s="113"/>
      <c r="DI171" s="105"/>
      <c r="DJ171" s="146"/>
      <c r="DK171" s="105"/>
      <c r="DL171" s="105"/>
      <c r="DM171" s="112"/>
      <c r="DN171" s="113"/>
      <c r="DO171" s="105"/>
      <c r="DP171" s="113"/>
      <c r="DQ171" s="113"/>
      <c r="DR171" s="105"/>
      <c r="DS171" s="113"/>
      <c r="DT171" s="113"/>
      <c r="DU171" s="112"/>
      <c r="DV171" s="113"/>
      <c r="DW171" s="105"/>
      <c r="DX171" s="146"/>
      <c r="DY171" s="105"/>
      <c r="DZ171" s="105"/>
      <c r="EA171" s="112"/>
      <c r="EB171" s="113"/>
      <c r="EC171" s="105"/>
      <c r="ED171" s="113"/>
      <c r="EE171" s="113"/>
      <c r="EF171" s="105"/>
      <c r="EG171" s="113"/>
      <c r="EH171" s="113"/>
      <c r="EI171" s="112"/>
      <c r="EJ171" s="113"/>
      <c r="EK171" s="105"/>
      <c r="EL171" s="146"/>
      <c r="EM171" s="72" t="s">
        <v>115</v>
      </c>
      <c r="EN171" s="74">
        <v>2250</v>
      </c>
      <c r="EO171" s="73"/>
      <c r="EP171" s="72" t="s">
        <v>77</v>
      </c>
      <c r="EQ171" s="72"/>
      <c r="ER171" s="75"/>
      <c r="ES171" s="76"/>
      <c r="ET171" s="77"/>
      <c r="EU171" s="77"/>
      <c r="EV171" s="78"/>
      <c r="EW171" s="72"/>
      <c r="EX171" s="72"/>
      <c r="EY171" s="72" t="s">
        <v>100</v>
      </c>
      <c r="EZ171" s="72" t="s">
        <v>114</v>
      </c>
      <c r="FA171" s="72"/>
      <c r="FB171" s="78"/>
      <c r="FC171" s="78"/>
      <c r="FD171" s="146"/>
      <c r="FE171" s="78"/>
      <c r="FF171" s="78"/>
      <c r="FG171" s="78"/>
      <c r="FH171" s="78"/>
      <c r="FI171" s="78"/>
      <c r="FJ171" s="78"/>
      <c r="FK171" s="78"/>
      <c r="FL171" s="78"/>
      <c r="FM171" s="78"/>
      <c r="FN171" s="78"/>
      <c r="FO171" s="146"/>
      <c r="FP171" s="78"/>
      <c r="FQ171" s="78"/>
      <c r="FR171" s="78"/>
      <c r="FS171" s="78"/>
      <c r="FT171" s="78"/>
      <c r="FU171" s="78"/>
      <c r="FV171" s="78"/>
      <c r="FW171" s="78"/>
      <c r="FX171" s="78"/>
      <c r="FY171" s="78"/>
    </row>
    <row r="172" spans="1:181" s="71" customFormat="1" ht="16.350000000000001" customHeight="1" x14ac:dyDescent="0.25">
      <c r="A172" s="109"/>
      <c r="B172" s="70"/>
      <c r="C172" s="110"/>
      <c r="D172" s="110"/>
      <c r="E172" s="146"/>
      <c r="F172" s="109" t="str">
        <f>mehrsprachigkeitBegriffsrückgabe(gewählteSpracheZurückgeben(), "Product (foreign language)")</f>
        <v>Produkt (Fremdsprache)</v>
      </c>
      <c r="G172" s="111"/>
      <c r="H172" s="111" t="s">
        <v>274</v>
      </c>
      <c r="I172" s="111" t="s">
        <v>94</v>
      </c>
      <c r="J172" s="111" t="s">
        <v>319</v>
      </c>
      <c r="K172" s="111"/>
      <c r="L172" s="146"/>
      <c r="M172" s="149"/>
      <c r="N172" s="111"/>
      <c r="O172" s="111"/>
      <c r="P172" s="111"/>
      <c r="Q172" s="111"/>
      <c r="R172" s="111"/>
      <c r="S172" s="111"/>
      <c r="T172" s="111"/>
      <c r="U172" s="111"/>
      <c r="V172" s="111"/>
      <c r="W172" s="111"/>
      <c r="X172" s="111"/>
      <c r="Y172" s="111"/>
      <c r="Z172" s="111"/>
      <c r="AA172" s="111"/>
      <c r="AB172" s="111"/>
      <c r="AC172" s="111"/>
      <c r="AD172" s="111"/>
      <c r="AE172" s="111"/>
      <c r="AF172" s="111"/>
      <c r="AG172" s="111"/>
      <c r="AH172" s="111"/>
      <c r="AI172" s="111"/>
      <c r="AJ172" s="111"/>
      <c r="AK172" s="111"/>
      <c r="AL172" s="111"/>
      <c r="AM172" s="111"/>
      <c r="AN172" s="111"/>
      <c r="AO172" s="111"/>
      <c r="AP172" s="111"/>
      <c r="AQ172" s="111"/>
      <c r="AR172" s="111"/>
      <c r="AS172" s="111"/>
      <c r="AT172" s="111"/>
      <c r="AU172" s="111"/>
      <c r="AV172" s="111"/>
      <c r="AW172" s="111"/>
      <c r="AX172" s="111"/>
      <c r="AY172" s="111"/>
      <c r="AZ172" s="111"/>
      <c r="BA172" s="146"/>
      <c r="BB172" s="104" t="s">
        <v>99</v>
      </c>
      <c r="BC172" s="72" t="s">
        <v>95</v>
      </c>
      <c r="BD172" s="72"/>
      <c r="BE172" s="72"/>
      <c r="BF172" s="146"/>
      <c r="BG172" s="112" t="s">
        <v>113</v>
      </c>
      <c r="BH172" s="113"/>
      <c r="BI172" s="146"/>
      <c r="BJ172" s="105"/>
      <c r="BK172" s="113"/>
      <c r="BL172" s="113"/>
      <c r="BM172" s="105"/>
      <c r="BN172" s="113"/>
      <c r="BO172" s="113"/>
      <c r="BP172" s="146"/>
      <c r="BQ172" s="112" t="s">
        <v>113</v>
      </c>
      <c r="BR172" s="113"/>
      <c r="BS172" s="105"/>
      <c r="BT172" s="146"/>
      <c r="BU172" s="105"/>
      <c r="BV172" s="105"/>
      <c r="BW172" s="112"/>
      <c r="BX172" s="113"/>
      <c r="BY172" s="105"/>
      <c r="BZ172" s="113"/>
      <c r="CA172" s="113"/>
      <c r="CB172" s="105"/>
      <c r="CC172" s="113"/>
      <c r="CD172" s="113"/>
      <c r="CE172" s="112"/>
      <c r="CF172" s="113"/>
      <c r="CG172" s="105"/>
      <c r="CH172" s="146"/>
      <c r="CI172" s="105"/>
      <c r="CJ172" s="105"/>
      <c r="CK172" s="112"/>
      <c r="CL172" s="113"/>
      <c r="CM172" s="105"/>
      <c r="CN172" s="113"/>
      <c r="CO172" s="113"/>
      <c r="CP172" s="105"/>
      <c r="CQ172" s="113"/>
      <c r="CR172" s="113"/>
      <c r="CS172" s="112"/>
      <c r="CT172" s="113"/>
      <c r="CU172" s="105"/>
      <c r="CV172" s="146"/>
      <c r="CW172" s="105"/>
      <c r="CX172" s="105"/>
      <c r="CY172" s="112"/>
      <c r="CZ172" s="113"/>
      <c r="DA172" s="105"/>
      <c r="DB172" s="113"/>
      <c r="DC172" s="113"/>
      <c r="DD172" s="105"/>
      <c r="DE172" s="113"/>
      <c r="DF172" s="113"/>
      <c r="DG172" s="112"/>
      <c r="DH172" s="113"/>
      <c r="DI172" s="105"/>
      <c r="DJ172" s="146"/>
      <c r="DK172" s="105"/>
      <c r="DL172" s="105"/>
      <c r="DM172" s="112"/>
      <c r="DN172" s="113"/>
      <c r="DO172" s="105"/>
      <c r="DP172" s="113"/>
      <c r="DQ172" s="113"/>
      <c r="DR172" s="105"/>
      <c r="DS172" s="113"/>
      <c r="DT172" s="113"/>
      <c r="DU172" s="112"/>
      <c r="DV172" s="113"/>
      <c r="DW172" s="105"/>
      <c r="DX172" s="146"/>
      <c r="DY172" s="105"/>
      <c r="DZ172" s="105"/>
      <c r="EA172" s="112"/>
      <c r="EB172" s="113"/>
      <c r="EC172" s="105"/>
      <c r="ED172" s="113"/>
      <c r="EE172" s="113"/>
      <c r="EF172" s="105"/>
      <c r="EG172" s="113"/>
      <c r="EH172" s="113"/>
      <c r="EI172" s="112"/>
      <c r="EJ172" s="113"/>
      <c r="EK172" s="105"/>
      <c r="EL172" s="146"/>
      <c r="EM172" s="72"/>
      <c r="EN172" s="74"/>
      <c r="EO172" s="73"/>
      <c r="EP172" s="72" t="s">
        <v>96</v>
      </c>
      <c r="EQ172" s="72"/>
      <c r="ER172" s="75"/>
      <c r="ES172" s="76"/>
      <c r="ET172" s="77"/>
      <c r="EU172" s="77"/>
      <c r="EV172" s="78"/>
      <c r="EW172" s="72"/>
      <c r="EX172" s="72"/>
      <c r="EY172" s="72"/>
      <c r="EZ172" s="72"/>
      <c r="FA172" s="72"/>
      <c r="FB172" s="78"/>
      <c r="FC172" s="78"/>
      <c r="FD172" s="146"/>
      <c r="FE172" s="78"/>
      <c r="FF172" s="78"/>
      <c r="FG172" s="78"/>
      <c r="FO172" s="146"/>
      <c r="FP172" s="78"/>
      <c r="FQ172" s="78"/>
      <c r="FR172" s="78"/>
    </row>
    <row r="173" spans="1:181" s="71" customFormat="1" ht="16.350000000000001" customHeight="1" x14ac:dyDescent="0.25">
      <c r="A173" s="109"/>
      <c r="B173" s="70"/>
      <c r="C173" s="110"/>
      <c r="D173" s="110">
        <v>1</v>
      </c>
      <c r="E173" s="146"/>
      <c r="F173" s="109" t="str">
        <f>mehrsprachigkeitBegriffsrückgabe(gewählteSpracheZurückgeben(), "Product")</f>
        <v>Produkt</v>
      </c>
      <c r="G173" s="111" t="s">
        <v>275</v>
      </c>
      <c r="H173" s="111"/>
      <c r="I173" s="111" t="s">
        <v>86</v>
      </c>
      <c r="J173" s="111" t="s">
        <v>368</v>
      </c>
      <c r="K173" s="111"/>
      <c r="L173" s="146"/>
      <c r="M173" s="149" t="s">
        <v>392</v>
      </c>
      <c r="N173" s="111" t="s">
        <v>401</v>
      </c>
      <c r="O173" s="114"/>
      <c r="P173" s="114"/>
      <c r="Q173" s="111"/>
      <c r="R173" s="111"/>
      <c r="S173" s="111"/>
      <c r="T173" s="111"/>
      <c r="U173" s="111"/>
      <c r="V173" s="111"/>
      <c r="W173" s="111"/>
      <c r="X173" s="111"/>
      <c r="Y173" s="111"/>
      <c r="Z173" s="111"/>
      <c r="AA173" s="111"/>
      <c r="AB173" s="111"/>
      <c r="AC173" s="111"/>
      <c r="AD173" s="111"/>
      <c r="AE173" s="111"/>
      <c r="AF173" s="111"/>
      <c r="AG173" s="111"/>
      <c r="AH173" s="111"/>
      <c r="AI173" s="111"/>
      <c r="AJ173" s="111"/>
      <c r="AK173" s="111"/>
      <c r="AL173" s="111"/>
      <c r="AM173" s="111"/>
      <c r="AN173" s="111"/>
      <c r="AO173" s="111"/>
      <c r="AP173" s="111"/>
      <c r="AQ173" s="111"/>
      <c r="AR173" s="111"/>
      <c r="AS173" s="111"/>
      <c r="AT173" s="111"/>
      <c r="AU173" s="111"/>
      <c r="AV173" s="111"/>
      <c r="AW173" s="111"/>
      <c r="AX173" s="111"/>
      <c r="AY173" s="111"/>
      <c r="AZ173" s="111"/>
      <c r="BA173" s="146"/>
      <c r="BB173" s="104" t="s">
        <v>98</v>
      </c>
      <c r="BC173" s="72" t="s">
        <v>93</v>
      </c>
      <c r="BD173" s="72" t="s">
        <v>508</v>
      </c>
      <c r="BE173" s="72" t="s">
        <v>417</v>
      </c>
      <c r="BF173" s="146"/>
      <c r="BG173" s="112">
        <v>59.9</v>
      </c>
      <c r="BH173" s="113"/>
      <c r="BI173" s="146"/>
      <c r="BJ173" s="105"/>
      <c r="BK173" s="113"/>
      <c r="BL173" s="113"/>
      <c r="BM173" s="105"/>
      <c r="BN173" s="113"/>
      <c r="BO173" s="152"/>
      <c r="BP173" s="146"/>
      <c r="BQ173" s="112">
        <v>74.900000000000006</v>
      </c>
      <c r="BR173" s="113"/>
      <c r="BS173" s="105">
        <v>1</v>
      </c>
      <c r="BT173" s="146"/>
      <c r="BU173" s="105"/>
      <c r="BV173" s="105"/>
      <c r="BW173" s="112"/>
      <c r="BX173" s="113"/>
      <c r="BY173" s="105"/>
      <c r="BZ173" s="113"/>
      <c r="CA173" s="113"/>
      <c r="CB173" s="105"/>
      <c r="CC173" s="113"/>
      <c r="CD173" s="152"/>
      <c r="CE173" s="112"/>
      <c r="CF173" s="113"/>
      <c r="CG173" s="105"/>
      <c r="CH173" s="146"/>
      <c r="CI173" s="105"/>
      <c r="CJ173" s="105"/>
      <c r="CK173" s="112"/>
      <c r="CL173" s="113"/>
      <c r="CM173" s="105"/>
      <c r="CN173" s="152"/>
      <c r="CO173" s="152"/>
      <c r="CP173" s="105"/>
      <c r="CQ173" s="113"/>
      <c r="CR173" s="152"/>
      <c r="CS173" s="112"/>
      <c r="CT173" s="113"/>
      <c r="CU173" s="105"/>
      <c r="CV173" s="146"/>
      <c r="CW173" s="105"/>
      <c r="CX173" s="105"/>
      <c r="CY173" s="112"/>
      <c r="CZ173" s="113"/>
      <c r="DA173" s="105"/>
      <c r="DB173" s="113"/>
      <c r="DC173" s="113"/>
      <c r="DD173" s="105"/>
      <c r="DE173" s="113"/>
      <c r="DF173" s="113"/>
      <c r="DG173" s="112"/>
      <c r="DH173" s="113"/>
      <c r="DI173" s="105"/>
      <c r="DJ173" s="146"/>
      <c r="DK173" s="105"/>
      <c r="DL173" s="105"/>
      <c r="DM173" s="112"/>
      <c r="DN173" s="113"/>
      <c r="DO173" s="105"/>
      <c r="DP173" s="113"/>
      <c r="DQ173" s="113"/>
      <c r="DR173" s="105"/>
      <c r="DS173" s="113"/>
      <c r="DT173" s="113"/>
      <c r="DU173" s="112"/>
      <c r="DV173" s="113"/>
      <c r="DW173" s="105"/>
      <c r="DX173" s="146"/>
      <c r="DY173" s="105"/>
      <c r="DZ173" s="105"/>
      <c r="EA173" s="112"/>
      <c r="EB173" s="113"/>
      <c r="EC173" s="105"/>
      <c r="ED173" s="113"/>
      <c r="EE173" s="113"/>
      <c r="EF173" s="105"/>
      <c r="EG173" s="113"/>
      <c r="EH173" s="113"/>
      <c r="EI173" s="112"/>
      <c r="EJ173" s="113"/>
      <c r="EK173" s="105"/>
      <c r="EL173" s="146"/>
      <c r="EM173" s="72" t="s">
        <v>115</v>
      </c>
      <c r="EN173" s="74">
        <v>2250</v>
      </c>
      <c r="EO173" s="73"/>
      <c r="EP173" s="72" t="s">
        <v>77</v>
      </c>
      <c r="EQ173" s="72"/>
      <c r="ER173" s="75"/>
      <c r="ES173" s="76"/>
      <c r="ET173" s="77"/>
      <c r="EU173" s="77">
        <v>1</v>
      </c>
      <c r="EV173" s="78"/>
      <c r="EW173" s="72"/>
      <c r="EX173" s="72"/>
      <c r="EY173" s="72" t="s">
        <v>100</v>
      </c>
      <c r="EZ173" s="72" t="s">
        <v>114</v>
      </c>
      <c r="FA173" s="72"/>
      <c r="FB173" s="78"/>
      <c r="FC173" s="78"/>
      <c r="FD173" s="146"/>
      <c r="FE173" s="78"/>
      <c r="FF173" s="78"/>
      <c r="FG173" s="78"/>
      <c r="FH173" s="78"/>
      <c r="FI173" s="78"/>
      <c r="FJ173" s="78"/>
      <c r="FK173" s="78"/>
      <c r="FL173" s="78"/>
      <c r="FM173" s="78"/>
      <c r="FN173" s="78"/>
      <c r="FO173" s="146"/>
      <c r="FP173" s="78"/>
      <c r="FQ173" s="78"/>
      <c r="FR173" s="78"/>
      <c r="FS173" s="78"/>
      <c r="FT173" s="78"/>
      <c r="FU173" s="78"/>
      <c r="FV173" s="78"/>
      <c r="FW173" s="78"/>
      <c r="FX173" s="78"/>
      <c r="FY173" s="78"/>
    </row>
    <row r="174" spans="1:181" s="71" customFormat="1" ht="16.350000000000001" customHeight="1" x14ac:dyDescent="0.25">
      <c r="A174" s="109"/>
      <c r="B174" s="70"/>
      <c r="C174" s="110"/>
      <c r="D174" s="110"/>
      <c r="E174" s="146"/>
      <c r="F174" s="109" t="str">
        <f>mehrsprachigkeitBegriffsrückgabe(gewählteSpracheZurückgeben(), "Product (foreign language)")</f>
        <v>Produkt (Fremdsprache)</v>
      </c>
      <c r="G174" s="111"/>
      <c r="H174" s="111" t="s">
        <v>275</v>
      </c>
      <c r="I174" s="111" t="s">
        <v>94</v>
      </c>
      <c r="J174" s="111" t="s">
        <v>320</v>
      </c>
      <c r="K174" s="111"/>
      <c r="L174" s="146"/>
      <c r="M174" s="149"/>
      <c r="N174" s="111"/>
      <c r="O174" s="111"/>
      <c r="P174" s="111"/>
      <c r="Q174" s="111"/>
      <c r="R174" s="111"/>
      <c r="S174" s="111"/>
      <c r="T174" s="111"/>
      <c r="U174" s="111"/>
      <c r="V174" s="111"/>
      <c r="W174" s="111"/>
      <c r="X174" s="111"/>
      <c r="Y174" s="111"/>
      <c r="Z174" s="111"/>
      <c r="AA174" s="111"/>
      <c r="AB174" s="111"/>
      <c r="AC174" s="111"/>
      <c r="AD174" s="111"/>
      <c r="AE174" s="111"/>
      <c r="AF174" s="111"/>
      <c r="AG174" s="111"/>
      <c r="AH174" s="111"/>
      <c r="AI174" s="111"/>
      <c r="AJ174" s="111"/>
      <c r="AK174" s="111"/>
      <c r="AL174" s="111"/>
      <c r="AM174" s="111"/>
      <c r="AN174" s="111"/>
      <c r="AO174" s="111"/>
      <c r="AP174" s="111"/>
      <c r="AQ174" s="111"/>
      <c r="AR174" s="111"/>
      <c r="AS174" s="111"/>
      <c r="AT174" s="111"/>
      <c r="AU174" s="111"/>
      <c r="AV174" s="111"/>
      <c r="AW174" s="111"/>
      <c r="AX174" s="111"/>
      <c r="AY174" s="111"/>
      <c r="AZ174" s="111"/>
      <c r="BA174" s="146"/>
      <c r="BB174" s="104" t="s">
        <v>99</v>
      </c>
      <c r="BC174" s="72" t="s">
        <v>95</v>
      </c>
      <c r="BD174" s="72"/>
      <c r="BE174" s="72"/>
      <c r="BF174" s="146"/>
      <c r="BG174" s="112" t="s">
        <v>113</v>
      </c>
      <c r="BH174" s="113"/>
      <c r="BI174" s="146"/>
      <c r="BJ174" s="105"/>
      <c r="BK174" s="113"/>
      <c r="BL174" s="113"/>
      <c r="BM174" s="105"/>
      <c r="BN174" s="113"/>
      <c r="BO174" s="113"/>
      <c r="BP174" s="146"/>
      <c r="BQ174" s="112" t="s">
        <v>113</v>
      </c>
      <c r="BR174" s="113"/>
      <c r="BS174" s="105"/>
      <c r="BT174" s="146"/>
      <c r="BU174" s="105"/>
      <c r="BV174" s="105"/>
      <c r="BW174" s="112"/>
      <c r="BX174" s="113"/>
      <c r="BY174" s="105"/>
      <c r="BZ174" s="113"/>
      <c r="CA174" s="113"/>
      <c r="CB174" s="105"/>
      <c r="CC174" s="113"/>
      <c r="CD174" s="113"/>
      <c r="CE174" s="112"/>
      <c r="CF174" s="113"/>
      <c r="CG174" s="105"/>
      <c r="CH174" s="146"/>
      <c r="CI174" s="105"/>
      <c r="CJ174" s="105"/>
      <c r="CK174" s="112"/>
      <c r="CL174" s="113"/>
      <c r="CM174" s="105"/>
      <c r="CN174" s="113"/>
      <c r="CO174" s="113"/>
      <c r="CP174" s="105"/>
      <c r="CQ174" s="113"/>
      <c r="CR174" s="113"/>
      <c r="CS174" s="112"/>
      <c r="CT174" s="113"/>
      <c r="CU174" s="105"/>
      <c r="CV174" s="146"/>
      <c r="CW174" s="105"/>
      <c r="CX174" s="105"/>
      <c r="CY174" s="112"/>
      <c r="CZ174" s="113"/>
      <c r="DA174" s="105"/>
      <c r="DB174" s="113"/>
      <c r="DC174" s="113"/>
      <c r="DD174" s="105"/>
      <c r="DE174" s="113"/>
      <c r="DF174" s="113"/>
      <c r="DG174" s="112"/>
      <c r="DH174" s="113"/>
      <c r="DI174" s="105"/>
      <c r="DJ174" s="146"/>
      <c r="DK174" s="105"/>
      <c r="DL174" s="105"/>
      <c r="DM174" s="112"/>
      <c r="DN174" s="113"/>
      <c r="DO174" s="105"/>
      <c r="DP174" s="113"/>
      <c r="DQ174" s="113"/>
      <c r="DR174" s="105"/>
      <c r="DS174" s="113"/>
      <c r="DT174" s="113"/>
      <c r="DU174" s="112"/>
      <c r="DV174" s="113"/>
      <c r="DW174" s="105"/>
      <c r="DX174" s="146"/>
      <c r="DY174" s="105"/>
      <c r="DZ174" s="105"/>
      <c r="EA174" s="112"/>
      <c r="EB174" s="113"/>
      <c r="EC174" s="105"/>
      <c r="ED174" s="113"/>
      <c r="EE174" s="113"/>
      <c r="EF174" s="105"/>
      <c r="EG174" s="113"/>
      <c r="EH174" s="113"/>
      <c r="EI174" s="112"/>
      <c r="EJ174" s="113"/>
      <c r="EK174" s="105"/>
      <c r="EL174" s="146"/>
      <c r="EM174" s="72"/>
      <c r="EN174" s="74"/>
      <c r="EO174" s="73"/>
      <c r="EP174" s="72" t="s">
        <v>96</v>
      </c>
      <c r="EQ174" s="72"/>
      <c r="ER174" s="75"/>
      <c r="ES174" s="76"/>
      <c r="ET174" s="77"/>
      <c r="EU174" s="77"/>
      <c r="EV174" s="78"/>
      <c r="EW174" s="72"/>
      <c r="EX174" s="72"/>
      <c r="EY174" s="72"/>
      <c r="EZ174" s="72"/>
      <c r="FA174" s="72"/>
      <c r="FB174" s="78"/>
      <c r="FC174" s="78"/>
      <c r="FD174" s="146"/>
      <c r="FE174" s="78"/>
      <c r="FF174" s="78"/>
      <c r="FG174" s="78"/>
      <c r="FO174" s="146"/>
      <c r="FP174" s="78"/>
      <c r="FQ174" s="78"/>
      <c r="FR174" s="78"/>
    </row>
    <row r="175" spans="1:181" s="71" customFormat="1" ht="16.350000000000001" customHeight="1" x14ac:dyDescent="0.25">
      <c r="A175" s="109"/>
      <c r="B175" s="70"/>
      <c r="C175" s="110"/>
      <c r="D175" s="110">
        <v>1</v>
      </c>
      <c r="E175" s="146"/>
      <c r="F175" s="109" t="str">
        <f>mehrsprachigkeitBegriffsrückgabe(gewählteSpracheZurückgeben(), "Product")</f>
        <v>Produkt</v>
      </c>
      <c r="G175" s="111" t="s">
        <v>276</v>
      </c>
      <c r="H175" s="111"/>
      <c r="I175" s="111" t="s">
        <v>86</v>
      </c>
      <c r="J175" s="111" t="s">
        <v>369</v>
      </c>
      <c r="K175" s="111"/>
      <c r="L175" s="146"/>
      <c r="M175" s="149" t="s">
        <v>392</v>
      </c>
      <c r="N175" s="111" t="s">
        <v>395</v>
      </c>
      <c r="O175" s="114"/>
      <c r="P175" s="114"/>
      <c r="Q175" s="111"/>
      <c r="R175" s="111"/>
      <c r="S175" s="111"/>
      <c r="T175" s="111"/>
      <c r="U175" s="111"/>
      <c r="V175" s="111"/>
      <c r="W175" s="111"/>
      <c r="X175" s="111"/>
      <c r="Y175" s="111"/>
      <c r="Z175" s="111"/>
      <c r="AA175" s="111"/>
      <c r="AB175" s="111"/>
      <c r="AC175" s="111"/>
      <c r="AD175" s="111"/>
      <c r="AE175" s="111"/>
      <c r="AF175" s="111"/>
      <c r="AG175" s="111"/>
      <c r="AH175" s="111"/>
      <c r="AI175" s="111"/>
      <c r="AJ175" s="111"/>
      <c r="AK175" s="111"/>
      <c r="AL175" s="111"/>
      <c r="AM175" s="111"/>
      <c r="AN175" s="111"/>
      <c r="AO175" s="111"/>
      <c r="AP175" s="111"/>
      <c r="AQ175" s="111"/>
      <c r="AR175" s="111"/>
      <c r="AS175" s="111"/>
      <c r="AT175" s="111"/>
      <c r="AU175" s="111"/>
      <c r="AV175" s="111"/>
      <c r="AW175" s="111"/>
      <c r="AX175" s="111"/>
      <c r="AY175" s="111"/>
      <c r="AZ175" s="111"/>
      <c r="BA175" s="146"/>
      <c r="BB175" s="104" t="s">
        <v>98</v>
      </c>
      <c r="BC175" s="72" t="s">
        <v>93</v>
      </c>
      <c r="BD175" s="72" t="s">
        <v>508</v>
      </c>
      <c r="BE175" s="72" t="s">
        <v>412</v>
      </c>
      <c r="BF175" s="146"/>
      <c r="BG175" s="112">
        <v>109.9</v>
      </c>
      <c r="BH175" s="113"/>
      <c r="BI175" s="146"/>
      <c r="BJ175" s="105"/>
      <c r="BK175" s="113"/>
      <c r="BL175" s="113"/>
      <c r="BM175" s="105"/>
      <c r="BN175" s="113"/>
      <c r="BO175" s="152"/>
      <c r="BP175" s="146"/>
      <c r="BQ175" s="112" t="s">
        <v>113</v>
      </c>
      <c r="BR175" s="113"/>
      <c r="BS175" s="105"/>
      <c r="BT175" s="146"/>
      <c r="BU175" s="105"/>
      <c r="BV175" s="105"/>
      <c r="BW175" s="112"/>
      <c r="BX175" s="113"/>
      <c r="BY175" s="105"/>
      <c r="BZ175" s="113"/>
      <c r="CA175" s="113"/>
      <c r="CB175" s="105"/>
      <c r="CC175" s="113"/>
      <c r="CD175" s="152"/>
      <c r="CE175" s="112"/>
      <c r="CF175" s="113"/>
      <c r="CG175" s="105"/>
      <c r="CH175" s="146"/>
      <c r="CI175" s="105"/>
      <c r="CJ175" s="105"/>
      <c r="CK175" s="112"/>
      <c r="CL175" s="113"/>
      <c r="CM175" s="105"/>
      <c r="CN175" s="152"/>
      <c r="CO175" s="152"/>
      <c r="CP175" s="105"/>
      <c r="CQ175" s="113"/>
      <c r="CR175" s="152"/>
      <c r="CS175" s="112"/>
      <c r="CT175" s="113"/>
      <c r="CU175" s="105"/>
      <c r="CV175" s="146"/>
      <c r="CW175" s="105"/>
      <c r="CX175" s="105"/>
      <c r="CY175" s="112"/>
      <c r="CZ175" s="113"/>
      <c r="DA175" s="105"/>
      <c r="DB175" s="113"/>
      <c r="DC175" s="113"/>
      <c r="DD175" s="105"/>
      <c r="DE175" s="113"/>
      <c r="DF175" s="113"/>
      <c r="DG175" s="112"/>
      <c r="DH175" s="113"/>
      <c r="DI175" s="105"/>
      <c r="DJ175" s="146"/>
      <c r="DK175" s="105"/>
      <c r="DL175" s="105"/>
      <c r="DM175" s="112"/>
      <c r="DN175" s="113"/>
      <c r="DO175" s="105"/>
      <c r="DP175" s="113"/>
      <c r="DQ175" s="113"/>
      <c r="DR175" s="105"/>
      <c r="DS175" s="113"/>
      <c r="DT175" s="113"/>
      <c r="DU175" s="112"/>
      <c r="DV175" s="113"/>
      <c r="DW175" s="105"/>
      <c r="DX175" s="146"/>
      <c r="DY175" s="105"/>
      <c r="DZ175" s="105"/>
      <c r="EA175" s="112"/>
      <c r="EB175" s="113"/>
      <c r="EC175" s="105"/>
      <c r="ED175" s="113"/>
      <c r="EE175" s="113"/>
      <c r="EF175" s="105"/>
      <c r="EG175" s="113"/>
      <c r="EH175" s="113"/>
      <c r="EI175" s="112"/>
      <c r="EJ175" s="113"/>
      <c r="EK175" s="105"/>
      <c r="EL175" s="146"/>
      <c r="EM175" s="72" t="s">
        <v>115</v>
      </c>
      <c r="EN175" s="74">
        <v>2250</v>
      </c>
      <c r="EO175" s="73"/>
      <c r="EP175" s="72" t="s">
        <v>77</v>
      </c>
      <c r="EQ175" s="72"/>
      <c r="ER175" s="75"/>
      <c r="ES175" s="76"/>
      <c r="ET175" s="77"/>
      <c r="EU175" s="77"/>
      <c r="EV175" s="78"/>
      <c r="EW175" s="72"/>
      <c r="EX175" s="72"/>
      <c r="EY175" s="72" t="s">
        <v>100</v>
      </c>
      <c r="EZ175" s="72" t="s">
        <v>114</v>
      </c>
      <c r="FA175" s="72"/>
      <c r="FB175" s="78"/>
      <c r="FC175" s="78"/>
      <c r="FD175" s="146"/>
      <c r="FE175" s="78"/>
      <c r="FF175" s="78"/>
      <c r="FG175" s="78"/>
      <c r="FH175" s="78"/>
      <c r="FI175" s="78"/>
      <c r="FJ175" s="78"/>
      <c r="FK175" s="78"/>
      <c r="FL175" s="78"/>
      <c r="FM175" s="78"/>
      <c r="FN175" s="78"/>
      <c r="FO175" s="146"/>
      <c r="FP175" s="78"/>
      <c r="FQ175" s="78"/>
      <c r="FR175" s="78"/>
      <c r="FS175" s="78"/>
      <c r="FT175" s="78"/>
      <c r="FU175" s="78"/>
      <c r="FV175" s="78"/>
      <c r="FW175" s="78"/>
      <c r="FX175" s="78"/>
      <c r="FY175" s="78"/>
    </row>
    <row r="176" spans="1:181" s="71" customFormat="1" ht="16.350000000000001" customHeight="1" x14ac:dyDescent="0.25">
      <c r="A176" s="109"/>
      <c r="B176" s="70"/>
      <c r="C176" s="110"/>
      <c r="D176" s="110"/>
      <c r="E176" s="146"/>
      <c r="F176" s="109" t="str">
        <f>mehrsprachigkeitBegriffsrückgabe(gewählteSpracheZurückgeben(), "Product (foreign language)")</f>
        <v>Produkt (Fremdsprache)</v>
      </c>
      <c r="G176" s="111"/>
      <c r="H176" s="111" t="s">
        <v>276</v>
      </c>
      <c r="I176" s="111" t="s">
        <v>94</v>
      </c>
      <c r="J176" s="111" t="s">
        <v>321</v>
      </c>
      <c r="K176" s="111"/>
      <c r="L176" s="146"/>
      <c r="M176" s="149"/>
      <c r="N176" s="111"/>
      <c r="O176" s="111"/>
      <c r="P176" s="111"/>
      <c r="Q176" s="111"/>
      <c r="R176" s="111"/>
      <c r="S176" s="111"/>
      <c r="T176" s="111"/>
      <c r="U176" s="111"/>
      <c r="V176" s="111"/>
      <c r="W176" s="111"/>
      <c r="X176" s="111"/>
      <c r="Y176" s="111"/>
      <c r="Z176" s="111"/>
      <c r="AA176" s="111"/>
      <c r="AB176" s="111"/>
      <c r="AC176" s="111"/>
      <c r="AD176" s="111"/>
      <c r="AE176" s="111"/>
      <c r="AF176" s="111"/>
      <c r="AG176" s="111"/>
      <c r="AH176" s="111"/>
      <c r="AI176" s="111"/>
      <c r="AJ176" s="111"/>
      <c r="AK176" s="111"/>
      <c r="AL176" s="111"/>
      <c r="AM176" s="111"/>
      <c r="AN176" s="111"/>
      <c r="AO176" s="111"/>
      <c r="AP176" s="111"/>
      <c r="AQ176" s="111"/>
      <c r="AR176" s="111"/>
      <c r="AS176" s="111"/>
      <c r="AT176" s="111"/>
      <c r="AU176" s="111"/>
      <c r="AV176" s="111"/>
      <c r="AW176" s="111"/>
      <c r="AX176" s="111"/>
      <c r="AY176" s="111"/>
      <c r="AZ176" s="111"/>
      <c r="BA176" s="146"/>
      <c r="BB176" s="104" t="s">
        <v>99</v>
      </c>
      <c r="BC176" s="72" t="s">
        <v>95</v>
      </c>
      <c r="BD176" s="72"/>
      <c r="BE176" s="72"/>
      <c r="BF176" s="146"/>
      <c r="BG176" s="112" t="s">
        <v>113</v>
      </c>
      <c r="BH176" s="113"/>
      <c r="BI176" s="146"/>
      <c r="BJ176" s="105"/>
      <c r="BK176" s="113"/>
      <c r="BL176" s="113"/>
      <c r="BM176" s="105"/>
      <c r="BN176" s="113"/>
      <c r="BO176" s="113"/>
      <c r="BP176" s="146"/>
      <c r="BQ176" s="112" t="s">
        <v>113</v>
      </c>
      <c r="BR176" s="113"/>
      <c r="BS176" s="105"/>
      <c r="BT176" s="146"/>
      <c r="BU176" s="105"/>
      <c r="BV176" s="105"/>
      <c r="BW176" s="112"/>
      <c r="BX176" s="113"/>
      <c r="BY176" s="105"/>
      <c r="BZ176" s="113"/>
      <c r="CA176" s="113"/>
      <c r="CB176" s="105"/>
      <c r="CC176" s="113"/>
      <c r="CD176" s="113"/>
      <c r="CE176" s="112"/>
      <c r="CF176" s="113"/>
      <c r="CG176" s="105"/>
      <c r="CH176" s="146"/>
      <c r="CI176" s="105"/>
      <c r="CJ176" s="105"/>
      <c r="CK176" s="112"/>
      <c r="CL176" s="113"/>
      <c r="CM176" s="105"/>
      <c r="CN176" s="113"/>
      <c r="CO176" s="113"/>
      <c r="CP176" s="105"/>
      <c r="CQ176" s="113"/>
      <c r="CR176" s="113"/>
      <c r="CS176" s="112"/>
      <c r="CT176" s="113"/>
      <c r="CU176" s="105"/>
      <c r="CV176" s="146"/>
      <c r="CW176" s="105"/>
      <c r="CX176" s="105"/>
      <c r="CY176" s="112"/>
      <c r="CZ176" s="113"/>
      <c r="DA176" s="105"/>
      <c r="DB176" s="113"/>
      <c r="DC176" s="113"/>
      <c r="DD176" s="105"/>
      <c r="DE176" s="113"/>
      <c r="DF176" s="113"/>
      <c r="DG176" s="112"/>
      <c r="DH176" s="113"/>
      <c r="DI176" s="105"/>
      <c r="DJ176" s="146"/>
      <c r="DK176" s="105"/>
      <c r="DL176" s="105"/>
      <c r="DM176" s="112"/>
      <c r="DN176" s="113"/>
      <c r="DO176" s="105"/>
      <c r="DP176" s="113"/>
      <c r="DQ176" s="113"/>
      <c r="DR176" s="105"/>
      <c r="DS176" s="113"/>
      <c r="DT176" s="113"/>
      <c r="DU176" s="112"/>
      <c r="DV176" s="113"/>
      <c r="DW176" s="105"/>
      <c r="DX176" s="146"/>
      <c r="DY176" s="105"/>
      <c r="DZ176" s="105"/>
      <c r="EA176" s="112"/>
      <c r="EB176" s="113"/>
      <c r="EC176" s="105"/>
      <c r="ED176" s="113"/>
      <c r="EE176" s="113"/>
      <c r="EF176" s="105"/>
      <c r="EG176" s="113"/>
      <c r="EH176" s="113"/>
      <c r="EI176" s="112"/>
      <c r="EJ176" s="113"/>
      <c r="EK176" s="105"/>
      <c r="EL176" s="146"/>
      <c r="EM176" s="72"/>
      <c r="EN176" s="74"/>
      <c r="EO176" s="73"/>
      <c r="EP176" s="72" t="s">
        <v>96</v>
      </c>
      <c r="EQ176" s="72"/>
      <c r="ER176" s="75"/>
      <c r="ES176" s="76"/>
      <c r="ET176" s="77"/>
      <c r="EU176" s="77"/>
      <c r="EV176" s="78"/>
      <c r="EW176" s="72"/>
      <c r="EX176" s="72"/>
      <c r="EY176" s="72"/>
      <c r="EZ176" s="72"/>
      <c r="FA176" s="72"/>
      <c r="FB176" s="78"/>
      <c r="FC176" s="78"/>
      <c r="FD176" s="146"/>
      <c r="FE176" s="78"/>
      <c r="FF176" s="78"/>
      <c r="FG176" s="78"/>
      <c r="FO176" s="146"/>
      <c r="FP176" s="78"/>
      <c r="FQ176" s="78"/>
      <c r="FR176" s="78"/>
    </row>
    <row r="177" spans="1:181" s="71" customFormat="1" ht="16.350000000000001" customHeight="1" x14ac:dyDescent="0.25">
      <c r="A177" s="109"/>
      <c r="B177" s="70"/>
      <c r="C177" s="110"/>
      <c r="D177" s="110">
        <v>1</v>
      </c>
      <c r="E177" s="146"/>
      <c r="F177" s="109" t="str">
        <f>mehrsprachigkeitBegriffsrückgabe(gewählteSpracheZurückgeben(), "Product")</f>
        <v>Produkt</v>
      </c>
      <c r="G177" s="111" t="s">
        <v>277</v>
      </c>
      <c r="H177" s="111"/>
      <c r="I177" s="111" t="s">
        <v>86</v>
      </c>
      <c r="J177" s="111" t="s">
        <v>370</v>
      </c>
      <c r="K177" s="111"/>
      <c r="L177" s="146"/>
      <c r="M177" s="149" t="s">
        <v>392</v>
      </c>
      <c r="N177" s="111" t="s">
        <v>401</v>
      </c>
      <c r="O177" s="114"/>
      <c r="P177" s="114"/>
      <c r="Q177" s="111"/>
      <c r="R177" s="111"/>
      <c r="S177" s="111"/>
      <c r="T177" s="111"/>
      <c r="U177" s="111"/>
      <c r="V177" s="111"/>
      <c r="W177" s="111"/>
      <c r="X177" s="111"/>
      <c r="Y177" s="111"/>
      <c r="Z177" s="111"/>
      <c r="AA177" s="111"/>
      <c r="AB177" s="111"/>
      <c r="AC177" s="111"/>
      <c r="AD177" s="111"/>
      <c r="AE177" s="111"/>
      <c r="AF177" s="111"/>
      <c r="AG177" s="111"/>
      <c r="AH177" s="111"/>
      <c r="AI177" s="111"/>
      <c r="AJ177" s="111"/>
      <c r="AK177" s="111"/>
      <c r="AL177" s="111"/>
      <c r="AM177" s="111"/>
      <c r="AN177" s="111"/>
      <c r="AO177" s="111"/>
      <c r="AP177" s="111"/>
      <c r="AQ177" s="111"/>
      <c r="AR177" s="111"/>
      <c r="AS177" s="111"/>
      <c r="AT177" s="111"/>
      <c r="AU177" s="111"/>
      <c r="AV177" s="111"/>
      <c r="AW177" s="111"/>
      <c r="AX177" s="111"/>
      <c r="AY177" s="111"/>
      <c r="AZ177" s="111"/>
      <c r="BA177" s="146"/>
      <c r="BB177" s="104" t="s">
        <v>98</v>
      </c>
      <c r="BC177" s="72" t="s">
        <v>93</v>
      </c>
      <c r="BD177" s="72" t="s">
        <v>508</v>
      </c>
      <c r="BE177" s="72" t="s">
        <v>414</v>
      </c>
      <c r="BF177" s="146"/>
      <c r="BG177" s="112">
        <v>99.9</v>
      </c>
      <c r="BH177" s="113"/>
      <c r="BI177" s="146"/>
      <c r="BJ177" s="105"/>
      <c r="BK177" s="113"/>
      <c r="BL177" s="113"/>
      <c r="BM177" s="105"/>
      <c r="BN177" s="113"/>
      <c r="BO177" s="152"/>
      <c r="BP177" s="146"/>
      <c r="BQ177" s="112" t="s">
        <v>113</v>
      </c>
      <c r="BR177" s="113"/>
      <c r="BS177" s="105"/>
      <c r="BT177" s="146"/>
      <c r="BU177" s="105"/>
      <c r="BV177" s="105"/>
      <c r="BW177" s="112"/>
      <c r="BX177" s="113"/>
      <c r="BY177" s="105"/>
      <c r="BZ177" s="113"/>
      <c r="CA177" s="113"/>
      <c r="CB177" s="105"/>
      <c r="CC177" s="113"/>
      <c r="CD177" s="152"/>
      <c r="CE177" s="112"/>
      <c r="CF177" s="113"/>
      <c r="CG177" s="105"/>
      <c r="CH177" s="146"/>
      <c r="CI177" s="105"/>
      <c r="CJ177" s="105"/>
      <c r="CK177" s="112"/>
      <c r="CL177" s="113"/>
      <c r="CM177" s="105"/>
      <c r="CN177" s="152"/>
      <c r="CO177" s="152"/>
      <c r="CP177" s="105"/>
      <c r="CQ177" s="113"/>
      <c r="CR177" s="152"/>
      <c r="CS177" s="112"/>
      <c r="CT177" s="113"/>
      <c r="CU177" s="105"/>
      <c r="CV177" s="146"/>
      <c r="CW177" s="105"/>
      <c r="CX177" s="105"/>
      <c r="CY177" s="112"/>
      <c r="CZ177" s="113"/>
      <c r="DA177" s="105"/>
      <c r="DB177" s="113"/>
      <c r="DC177" s="113"/>
      <c r="DD177" s="105"/>
      <c r="DE177" s="113"/>
      <c r="DF177" s="113"/>
      <c r="DG177" s="112"/>
      <c r="DH177" s="113"/>
      <c r="DI177" s="105"/>
      <c r="DJ177" s="146"/>
      <c r="DK177" s="105"/>
      <c r="DL177" s="105"/>
      <c r="DM177" s="112"/>
      <c r="DN177" s="113"/>
      <c r="DO177" s="105"/>
      <c r="DP177" s="113"/>
      <c r="DQ177" s="113"/>
      <c r="DR177" s="105"/>
      <c r="DS177" s="113"/>
      <c r="DT177" s="113"/>
      <c r="DU177" s="112"/>
      <c r="DV177" s="113"/>
      <c r="DW177" s="105"/>
      <c r="DX177" s="146"/>
      <c r="DY177" s="105"/>
      <c r="DZ177" s="105"/>
      <c r="EA177" s="112"/>
      <c r="EB177" s="113"/>
      <c r="EC177" s="105"/>
      <c r="ED177" s="113"/>
      <c r="EE177" s="113"/>
      <c r="EF177" s="105"/>
      <c r="EG177" s="113"/>
      <c r="EH177" s="113"/>
      <c r="EI177" s="112"/>
      <c r="EJ177" s="113"/>
      <c r="EK177" s="105"/>
      <c r="EL177" s="146"/>
      <c r="EM177" s="72" t="s">
        <v>115</v>
      </c>
      <c r="EN177" s="74">
        <v>2250</v>
      </c>
      <c r="EO177" s="73"/>
      <c r="EP177" s="72" t="s">
        <v>77</v>
      </c>
      <c r="EQ177" s="72"/>
      <c r="ER177" s="75"/>
      <c r="ES177" s="76"/>
      <c r="ET177" s="77"/>
      <c r="EU177" s="77"/>
      <c r="EV177" s="78"/>
      <c r="EW177" s="72"/>
      <c r="EX177" s="72"/>
      <c r="EY177" s="72" t="s">
        <v>100</v>
      </c>
      <c r="EZ177" s="72" t="s">
        <v>114</v>
      </c>
      <c r="FA177" s="72"/>
      <c r="FB177" s="78"/>
      <c r="FC177" s="78"/>
      <c r="FD177" s="146"/>
      <c r="FE177" s="78"/>
      <c r="FF177" s="78"/>
      <c r="FG177" s="78"/>
      <c r="FH177" s="78"/>
      <c r="FI177" s="78"/>
      <c r="FJ177" s="78"/>
      <c r="FK177" s="78"/>
      <c r="FL177" s="78"/>
      <c r="FM177" s="78"/>
      <c r="FN177" s="78"/>
      <c r="FO177" s="146"/>
      <c r="FP177" s="78"/>
      <c r="FQ177" s="78"/>
      <c r="FR177" s="78"/>
      <c r="FS177" s="78"/>
      <c r="FT177" s="78"/>
      <c r="FU177" s="78"/>
      <c r="FV177" s="78"/>
      <c r="FW177" s="78"/>
      <c r="FX177" s="78"/>
      <c r="FY177" s="78"/>
    </row>
    <row r="178" spans="1:181" s="71" customFormat="1" ht="16.350000000000001" customHeight="1" x14ac:dyDescent="0.25">
      <c r="A178" s="109"/>
      <c r="B178" s="70"/>
      <c r="C178" s="110"/>
      <c r="D178" s="110"/>
      <c r="E178" s="146"/>
      <c r="F178" s="109" t="str">
        <f>mehrsprachigkeitBegriffsrückgabe(gewählteSpracheZurückgeben(), "Product (foreign language)")</f>
        <v>Produkt (Fremdsprache)</v>
      </c>
      <c r="G178" s="111"/>
      <c r="H178" s="111" t="s">
        <v>277</v>
      </c>
      <c r="I178" s="111" t="s">
        <v>94</v>
      </c>
      <c r="J178" s="111" t="s">
        <v>322</v>
      </c>
      <c r="K178" s="111"/>
      <c r="L178" s="146"/>
      <c r="M178" s="149"/>
      <c r="N178" s="111"/>
      <c r="O178" s="111"/>
      <c r="P178" s="111"/>
      <c r="Q178" s="111"/>
      <c r="R178" s="111"/>
      <c r="S178" s="111"/>
      <c r="T178" s="111"/>
      <c r="U178" s="111"/>
      <c r="V178" s="111"/>
      <c r="W178" s="111"/>
      <c r="X178" s="111"/>
      <c r="Y178" s="111"/>
      <c r="Z178" s="111"/>
      <c r="AA178" s="111"/>
      <c r="AB178" s="111"/>
      <c r="AC178" s="111"/>
      <c r="AD178" s="111"/>
      <c r="AE178" s="111"/>
      <c r="AF178" s="111"/>
      <c r="AG178" s="111"/>
      <c r="AH178" s="111"/>
      <c r="AI178" s="111"/>
      <c r="AJ178" s="111"/>
      <c r="AK178" s="111"/>
      <c r="AL178" s="111"/>
      <c r="AM178" s="111"/>
      <c r="AN178" s="111"/>
      <c r="AO178" s="111"/>
      <c r="AP178" s="111"/>
      <c r="AQ178" s="111"/>
      <c r="AR178" s="111"/>
      <c r="AS178" s="111"/>
      <c r="AT178" s="111"/>
      <c r="AU178" s="111"/>
      <c r="AV178" s="111"/>
      <c r="AW178" s="111"/>
      <c r="AX178" s="111"/>
      <c r="AY178" s="111"/>
      <c r="AZ178" s="111"/>
      <c r="BA178" s="146"/>
      <c r="BB178" s="104" t="s">
        <v>99</v>
      </c>
      <c r="BC178" s="72" t="s">
        <v>95</v>
      </c>
      <c r="BD178" s="72"/>
      <c r="BE178" s="72"/>
      <c r="BF178" s="146"/>
      <c r="BG178" s="112" t="s">
        <v>113</v>
      </c>
      <c r="BH178" s="113"/>
      <c r="BI178" s="146"/>
      <c r="BJ178" s="105"/>
      <c r="BK178" s="113"/>
      <c r="BL178" s="113"/>
      <c r="BM178" s="105"/>
      <c r="BN178" s="113"/>
      <c r="BO178" s="113"/>
      <c r="BP178" s="146"/>
      <c r="BQ178" s="112" t="s">
        <v>113</v>
      </c>
      <c r="BR178" s="113"/>
      <c r="BS178" s="105"/>
      <c r="BT178" s="146"/>
      <c r="BU178" s="105"/>
      <c r="BV178" s="105"/>
      <c r="BW178" s="112"/>
      <c r="BX178" s="113"/>
      <c r="BY178" s="105"/>
      <c r="BZ178" s="113"/>
      <c r="CA178" s="113"/>
      <c r="CB178" s="105"/>
      <c r="CC178" s="113"/>
      <c r="CD178" s="113"/>
      <c r="CE178" s="112"/>
      <c r="CF178" s="113"/>
      <c r="CG178" s="105"/>
      <c r="CH178" s="146"/>
      <c r="CI178" s="105"/>
      <c r="CJ178" s="105"/>
      <c r="CK178" s="112"/>
      <c r="CL178" s="113"/>
      <c r="CM178" s="105"/>
      <c r="CN178" s="113"/>
      <c r="CO178" s="113"/>
      <c r="CP178" s="105"/>
      <c r="CQ178" s="113"/>
      <c r="CR178" s="113"/>
      <c r="CS178" s="112"/>
      <c r="CT178" s="113"/>
      <c r="CU178" s="105"/>
      <c r="CV178" s="146"/>
      <c r="CW178" s="105"/>
      <c r="CX178" s="105"/>
      <c r="CY178" s="112"/>
      <c r="CZ178" s="113"/>
      <c r="DA178" s="105"/>
      <c r="DB178" s="113"/>
      <c r="DC178" s="113"/>
      <c r="DD178" s="105"/>
      <c r="DE178" s="113"/>
      <c r="DF178" s="113"/>
      <c r="DG178" s="112"/>
      <c r="DH178" s="113"/>
      <c r="DI178" s="105"/>
      <c r="DJ178" s="146"/>
      <c r="DK178" s="105"/>
      <c r="DL178" s="105"/>
      <c r="DM178" s="112"/>
      <c r="DN178" s="113"/>
      <c r="DO178" s="105"/>
      <c r="DP178" s="113"/>
      <c r="DQ178" s="113"/>
      <c r="DR178" s="105"/>
      <c r="DS178" s="113"/>
      <c r="DT178" s="113"/>
      <c r="DU178" s="112"/>
      <c r="DV178" s="113"/>
      <c r="DW178" s="105"/>
      <c r="DX178" s="146"/>
      <c r="DY178" s="105"/>
      <c r="DZ178" s="105"/>
      <c r="EA178" s="112"/>
      <c r="EB178" s="113"/>
      <c r="EC178" s="105"/>
      <c r="ED178" s="113"/>
      <c r="EE178" s="113"/>
      <c r="EF178" s="105"/>
      <c r="EG178" s="113"/>
      <c r="EH178" s="113"/>
      <c r="EI178" s="112"/>
      <c r="EJ178" s="113"/>
      <c r="EK178" s="105"/>
      <c r="EL178" s="146"/>
      <c r="EM178" s="72"/>
      <c r="EN178" s="74"/>
      <c r="EO178" s="73"/>
      <c r="EP178" s="72" t="s">
        <v>96</v>
      </c>
      <c r="EQ178" s="72"/>
      <c r="ER178" s="75"/>
      <c r="ES178" s="76"/>
      <c r="ET178" s="77"/>
      <c r="EU178" s="77"/>
      <c r="EV178" s="78"/>
      <c r="EW178" s="72"/>
      <c r="EX178" s="72"/>
      <c r="EY178" s="72"/>
      <c r="EZ178" s="72"/>
      <c r="FA178" s="72"/>
      <c r="FB178" s="78"/>
      <c r="FC178" s="78"/>
      <c r="FD178" s="146"/>
      <c r="FE178" s="78"/>
      <c r="FF178" s="78"/>
      <c r="FG178" s="78"/>
      <c r="FO178" s="146"/>
      <c r="FP178" s="78"/>
      <c r="FQ178" s="78"/>
      <c r="FR178" s="78"/>
    </row>
    <row r="179" spans="1:181" s="71" customFormat="1" ht="16.350000000000001" customHeight="1" x14ac:dyDescent="0.25">
      <c r="A179" s="109"/>
      <c r="B179" s="70"/>
      <c r="C179" s="110"/>
      <c r="D179" s="110">
        <v>1</v>
      </c>
      <c r="E179" s="146"/>
      <c r="F179" s="109" t="str">
        <f>mehrsprachigkeitBegriffsrückgabe(gewählteSpracheZurückgeben(), "Product")</f>
        <v>Produkt</v>
      </c>
      <c r="G179" s="111" t="s">
        <v>278</v>
      </c>
      <c r="H179" s="111"/>
      <c r="I179" s="111" t="s">
        <v>86</v>
      </c>
      <c r="J179" s="111" t="s">
        <v>371</v>
      </c>
      <c r="K179" s="111"/>
      <c r="L179" s="146"/>
      <c r="M179" s="149" t="s">
        <v>392</v>
      </c>
      <c r="N179" s="111" t="s">
        <v>396</v>
      </c>
      <c r="O179" s="114"/>
      <c r="P179" s="114"/>
      <c r="Q179" s="111"/>
      <c r="R179" s="111"/>
      <c r="S179" s="111"/>
      <c r="T179" s="111"/>
      <c r="U179" s="111"/>
      <c r="V179" s="111"/>
      <c r="W179" s="111"/>
      <c r="X179" s="111"/>
      <c r="Y179" s="111"/>
      <c r="Z179" s="111"/>
      <c r="AA179" s="111"/>
      <c r="AB179" s="111"/>
      <c r="AC179" s="111"/>
      <c r="AD179" s="111"/>
      <c r="AE179" s="111"/>
      <c r="AF179" s="111"/>
      <c r="AG179" s="111"/>
      <c r="AH179" s="111"/>
      <c r="AI179" s="111"/>
      <c r="AJ179" s="111"/>
      <c r="AK179" s="111"/>
      <c r="AL179" s="111"/>
      <c r="AM179" s="111"/>
      <c r="AN179" s="111"/>
      <c r="AO179" s="111"/>
      <c r="AP179" s="111"/>
      <c r="AQ179" s="111"/>
      <c r="AR179" s="111"/>
      <c r="AS179" s="111"/>
      <c r="AT179" s="111"/>
      <c r="AU179" s="111"/>
      <c r="AV179" s="111"/>
      <c r="AW179" s="111"/>
      <c r="AX179" s="111"/>
      <c r="AY179" s="111"/>
      <c r="AZ179" s="111"/>
      <c r="BA179" s="146"/>
      <c r="BB179" s="104" t="s">
        <v>98</v>
      </c>
      <c r="BC179" s="72" t="s">
        <v>93</v>
      </c>
      <c r="BD179" s="72" t="s">
        <v>508</v>
      </c>
      <c r="BE179" s="72" t="s">
        <v>413</v>
      </c>
      <c r="BF179" s="146"/>
      <c r="BG179" s="112">
        <v>89.9</v>
      </c>
      <c r="BH179" s="113"/>
      <c r="BI179" s="146"/>
      <c r="BJ179" s="105"/>
      <c r="BK179" s="113"/>
      <c r="BL179" s="113"/>
      <c r="BM179" s="105"/>
      <c r="BN179" s="113"/>
      <c r="BO179" s="152"/>
      <c r="BP179" s="146"/>
      <c r="BQ179" s="112">
        <v>109.9</v>
      </c>
      <c r="BR179" s="113"/>
      <c r="BS179" s="105">
        <v>1</v>
      </c>
      <c r="BT179" s="146"/>
      <c r="BU179" s="105"/>
      <c r="BV179" s="105"/>
      <c r="BW179" s="112"/>
      <c r="BX179" s="113"/>
      <c r="BY179" s="105"/>
      <c r="BZ179" s="113"/>
      <c r="CA179" s="113"/>
      <c r="CB179" s="105"/>
      <c r="CC179" s="113"/>
      <c r="CD179" s="152"/>
      <c r="CE179" s="112"/>
      <c r="CF179" s="113"/>
      <c r="CG179" s="105"/>
      <c r="CH179" s="146"/>
      <c r="CI179" s="105"/>
      <c r="CJ179" s="105"/>
      <c r="CK179" s="112"/>
      <c r="CL179" s="113"/>
      <c r="CM179" s="105"/>
      <c r="CN179" s="152"/>
      <c r="CO179" s="152"/>
      <c r="CP179" s="105"/>
      <c r="CQ179" s="113"/>
      <c r="CR179" s="152"/>
      <c r="CS179" s="112"/>
      <c r="CT179" s="113"/>
      <c r="CU179" s="105"/>
      <c r="CV179" s="146"/>
      <c r="CW179" s="105"/>
      <c r="CX179" s="105"/>
      <c r="CY179" s="112"/>
      <c r="CZ179" s="113"/>
      <c r="DA179" s="105"/>
      <c r="DB179" s="113"/>
      <c r="DC179" s="113"/>
      <c r="DD179" s="105"/>
      <c r="DE179" s="113"/>
      <c r="DF179" s="113"/>
      <c r="DG179" s="112"/>
      <c r="DH179" s="113"/>
      <c r="DI179" s="105"/>
      <c r="DJ179" s="146"/>
      <c r="DK179" s="105"/>
      <c r="DL179" s="105"/>
      <c r="DM179" s="112"/>
      <c r="DN179" s="113"/>
      <c r="DO179" s="105"/>
      <c r="DP179" s="113"/>
      <c r="DQ179" s="113"/>
      <c r="DR179" s="105"/>
      <c r="DS179" s="113"/>
      <c r="DT179" s="113"/>
      <c r="DU179" s="112"/>
      <c r="DV179" s="113"/>
      <c r="DW179" s="105"/>
      <c r="DX179" s="146"/>
      <c r="DY179" s="105"/>
      <c r="DZ179" s="105"/>
      <c r="EA179" s="112"/>
      <c r="EB179" s="113"/>
      <c r="EC179" s="105"/>
      <c r="ED179" s="113"/>
      <c r="EE179" s="113"/>
      <c r="EF179" s="105"/>
      <c r="EG179" s="113"/>
      <c r="EH179" s="113"/>
      <c r="EI179" s="112"/>
      <c r="EJ179" s="113"/>
      <c r="EK179" s="105"/>
      <c r="EL179" s="146"/>
      <c r="EM179" s="72" t="s">
        <v>115</v>
      </c>
      <c r="EN179" s="74">
        <v>2250</v>
      </c>
      <c r="EO179" s="73"/>
      <c r="EP179" s="72" t="s">
        <v>77</v>
      </c>
      <c r="EQ179" s="72"/>
      <c r="ER179" s="75"/>
      <c r="ES179" s="76"/>
      <c r="ET179" s="77"/>
      <c r="EU179" s="77">
        <v>1</v>
      </c>
      <c r="EV179" s="78"/>
      <c r="EW179" s="72"/>
      <c r="EX179" s="72"/>
      <c r="EY179" s="72" t="s">
        <v>100</v>
      </c>
      <c r="EZ179" s="72" t="s">
        <v>114</v>
      </c>
      <c r="FA179" s="72"/>
      <c r="FB179" s="78"/>
      <c r="FC179" s="78"/>
      <c r="FD179" s="146"/>
      <c r="FE179" s="78"/>
      <c r="FF179" s="78"/>
      <c r="FG179" s="78"/>
      <c r="FH179" s="78"/>
      <c r="FI179" s="78"/>
      <c r="FJ179" s="78"/>
      <c r="FK179" s="78"/>
      <c r="FL179" s="78"/>
      <c r="FM179" s="78"/>
      <c r="FN179" s="78"/>
      <c r="FO179" s="146"/>
      <c r="FP179" s="78"/>
      <c r="FQ179" s="78"/>
      <c r="FR179" s="78"/>
      <c r="FS179" s="78"/>
      <c r="FT179" s="78"/>
      <c r="FU179" s="78"/>
      <c r="FV179" s="78"/>
      <c r="FW179" s="78"/>
      <c r="FX179" s="78"/>
      <c r="FY179" s="78"/>
    </row>
    <row r="180" spans="1:181" s="71" customFormat="1" ht="16.350000000000001" customHeight="1" x14ac:dyDescent="0.25">
      <c r="A180" s="109"/>
      <c r="B180" s="70"/>
      <c r="C180" s="110"/>
      <c r="D180" s="110"/>
      <c r="E180" s="146"/>
      <c r="F180" s="109" t="str">
        <f>mehrsprachigkeitBegriffsrückgabe(gewählteSpracheZurückgeben(), "Product (foreign language)")</f>
        <v>Produkt (Fremdsprache)</v>
      </c>
      <c r="G180" s="111"/>
      <c r="H180" s="111" t="s">
        <v>278</v>
      </c>
      <c r="I180" s="111" t="s">
        <v>94</v>
      </c>
      <c r="J180" s="111" t="s">
        <v>323</v>
      </c>
      <c r="K180" s="111"/>
      <c r="L180" s="146"/>
      <c r="M180" s="149"/>
      <c r="N180" s="111"/>
      <c r="O180" s="111"/>
      <c r="P180" s="111"/>
      <c r="Q180" s="111"/>
      <c r="R180" s="111"/>
      <c r="S180" s="111"/>
      <c r="T180" s="111"/>
      <c r="U180" s="111"/>
      <c r="V180" s="111"/>
      <c r="W180" s="111"/>
      <c r="X180" s="111"/>
      <c r="Y180" s="111"/>
      <c r="Z180" s="111"/>
      <c r="AA180" s="111"/>
      <c r="AB180" s="111"/>
      <c r="AC180" s="111"/>
      <c r="AD180" s="111"/>
      <c r="AE180" s="111"/>
      <c r="AF180" s="111"/>
      <c r="AG180" s="111"/>
      <c r="AH180" s="111"/>
      <c r="AI180" s="111"/>
      <c r="AJ180" s="111"/>
      <c r="AK180" s="111"/>
      <c r="AL180" s="111"/>
      <c r="AM180" s="111"/>
      <c r="AN180" s="111"/>
      <c r="AO180" s="111"/>
      <c r="AP180" s="111"/>
      <c r="AQ180" s="111"/>
      <c r="AR180" s="111"/>
      <c r="AS180" s="111"/>
      <c r="AT180" s="111"/>
      <c r="AU180" s="111"/>
      <c r="AV180" s="111"/>
      <c r="AW180" s="111"/>
      <c r="AX180" s="111"/>
      <c r="AY180" s="111"/>
      <c r="AZ180" s="111"/>
      <c r="BA180" s="146"/>
      <c r="BB180" s="104" t="s">
        <v>99</v>
      </c>
      <c r="BC180" s="72" t="s">
        <v>95</v>
      </c>
      <c r="BD180" s="72"/>
      <c r="BE180" s="72"/>
      <c r="BF180" s="146"/>
      <c r="BG180" s="112" t="s">
        <v>113</v>
      </c>
      <c r="BH180" s="113"/>
      <c r="BI180" s="146"/>
      <c r="BJ180" s="105"/>
      <c r="BK180" s="113"/>
      <c r="BL180" s="113"/>
      <c r="BM180" s="105"/>
      <c r="BN180" s="113"/>
      <c r="BO180" s="113"/>
      <c r="BP180" s="146"/>
      <c r="BQ180" s="112" t="s">
        <v>113</v>
      </c>
      <c r="BR180" s="113"/>
      <c r="BS180" s="105"/>
      <c r="BT180" s="146"/>
      <c r="BU180" s="105"/>
      <c r="BV180" s="105"/>
      <c r="BW180" s="112"/>
      <c r="BX180" s="113"/>
      <c r="BY180" s="105"/>
      <c r="BZ180" s="113"/>
      <c r="CA180" s="113"/>
      <c r="CB180" s="105"/>
      <c r="CC180" s="113"/>
      <c r="CD180" s="113"/>
      <c r="CE180" s="112"/>
      <c r="CF180" s="113"/>
      <c r="CG180" s="105"/>
      <c r="CH180" s="146"/>
      <c r="CI180" s="105"/>
      <c r="CJ180" s="105"/>
      <c r="CK180" s="112"/>
      <c r="CL180" s="113"/>
      <c r="CM180" s="105"/>
      <c r="CN180" s="113"/>
      <c r="CO180" s="113"/>
      <c r="CP180" s="105"/>
      <c r="CQ180" s="113"/>
      <c r="CR180" s="113"/>
      <c r="CS180" s="112"/>
      <c r="CT180" s="113"/>
      <c r="CU180" s="105"/>
      <c r="CV180" s="146"/>
      <c r="CW180" s="105"/>
      <c r="CX180" s="105"/>
      <c r="CY180" s="112"/>
      <c r="CZ180" s="113"/>
      <c r="DA180" s="105"/>
      <c r="DB180" s="113"/>
      <c r="DC180" s="113"/>
      <c r="DD180" s="105"/>
      <c r="DE180" s="113"/>
      <c r="DF180" s="113"/>
      <c r="DG180" s="112"/>
      <c r="DH180" s="113"/>
      <c r="DI180" s="105"/>
      <c r="DJ180" s="146"/>
      <c r="DK180" s="105"/>
      <c r="DL180" s="105"/>
      <c r="DM180" s="112"/>
      <c r="DN180" s="113"/>
      <c r="DO180" s="105"/>
      <c r="DP180" s="113"/>
      <c r="DQ180" s="113"/>
      <c r="DR180" s="105"/>
      <c r="DS180" s="113"/>
      <c r="DT180" s="113"/>
      <c r="DU180" s="112"/>
      <c r="DV180" s="113"/>
      <c r="DW180" s="105"/>
      <c r="DX180" s="146"/>
      <c r="DY180" s="105"/>
      <c r="DZ180" s="105"/>
      <c r="EA180" s="112"/>
      <c r="EB180" s="113"/>
      <c r="EC180" s="105"/>
      <c r="ED180" s="113"/>
      <c r="EE180" s="113"/>
      <c r="EF180" s="105"/>
      <c r="EG180" s="113"/>
      <c r="EH180" s="113"/>
      <c r="EI180" s="112"/>
      <c r="EJ180" s="113"/>
      <c r="EK180" s="105"/>
      <c r="EL180" s="146"/>
      <c r="EM180" s="72"/>
      <c r="EN180" s="74"/>
      <c r="EO180" s="73"/>
      <c r="EP180" s="72" t="s">
        <v>96</v>
      </c>
      <c r="EQ180" s="72"/>
      <c r="ER180" s="75"/>
      <c r="ES180" s="76"/>
      <c r="ET180" s="77"/>
      <c r="EU180" s="77"/>
      <c r="EV180" s="78"/>
      <c r="EW180" s="72"/>
      <c r="EX180" s="72"/>
      <c r="EY180" s="72"/>
      <c r="EZ180" s="72"/>
      <c r="FA180" s="72"/>
      <c r="FB180" s="78"/>
      <c r="FC180" s="78"/>
      <c r="FD180" s="146"/>
      <c r="FE180" s="78"/>
      <c r="FF180" s="78"/>
      <c r="FG180" s="78"/>
      <c r="FO180" s="146"/>
      <c r="FP180" s="78"/>
      <c r="FQ180" s="78"/>
      <c r="FR180" s="78"/>
    </row>
    <row r="181" spans="1:181" s="71" customFormat="1" ht="16.350000000000001" customHeight="1" x14ac:dyDescent="0.25">
      <c r="A181" s="109"/>
      <c r="B181" s="70"/>
      <c r="C181" s="110"/>
      <c r="D181" s="110">
        <v>1</v>
      </c>
      <c r="E181" s="146"/>
      <c r="F181" s="109" t="str">
        <f>mehrsprachigkeitBegriffsrückgabe(gewählteSpracheZurückgeben(), "Product")</f>
        <v>Produkt</v>
      </c>
      <c r="G181" s="111" t="s">
        <v>279</v>
      </c>
      <c r="H181" s="111"/>
      <c r="I181" s="111" t="s">
        <v>86</v>
      </c>
      <c r="J181" s="111" t="s">
        <v>372</v>
      </c>
      <c r="K181" s="111"/>
      <c r="L181" s="146"/>
      <c r="M181" s="149" t="s">
        <v>392</v>
      </c>
      <c r="N181" s="111" t="s">
        <v>397</v>
      </c>
      <c r="O181" s="114"/>
      <c r="P181" s="114"/>
      <c r="Q181" s="111"/>
      <c r="R181" s="111"/>
      <c r="S181" s="111"/>
      <c r="T181" s="111"/>
      <c r="U181" s="111"/>
      <c r="V181" s="111"/>
      <c r="W181" s="111"/>
      <c r="X181" s="111"/>
      <c r="Y181" s="111"/>
      <c r="Z181" s="111"/>
      <c r="AA181" s="111"/>
      <c r="AB181" s="111"/>
      <c r="AC181" s="111"/>
      <c r="AD181" s="111"/>
      <c r="AE181" s="111"/>
      <c r="AF181" s="111"/>
      <c r="AG181" s="111"/>
      <c r="AH181" s="111"/>
      <c r="AI181" s="111"/>
      <c r="AJ181" s="111"/>
      <c r="AK181" s="111"/>
      <c r="AL181" s="111"/>
      <c r="AM181" s="111"/>
      <c r="AN181" s="111"/>
      <c r="AO181" s="111"/>
      <c r="AP181" s="111"/>
      <c r="AQ181" s="111"/>
      <c r="AR181" s="111"/>
      <c r="AS181" s="111"/>
      <c r="AT181" s="111"/>
      <c r="AU181" s="111"/>
      <c r="AV181" s="111"/>
      <c r="AW181" s="111"/>
      <c r="AX181" s="111"/>
      <c r="AY181" s="111"/>
      <c r="AZ181" s="111"/>
      <c r="BA181" s="146"/>
      <c r="BB181" s="104" t="s">
        <v>98</v>
      </c>
      <c r="BC181" s="72" t="s">
        <v>93</v>
      </c>
      <c r="BD181" s="72" t="s">
        <v>508</v>
      </c>
      <c r="BE181" s="72" t="s">
        <v>415</v>
      </c>
      <c r="BF181" s="146"/>
      <c r="BG181" s="112">
        <v>74.900000000000006</v>
      </c>
      <c r="BH181" s="113"/>
      <c r="BI181" s="146"/>
      <c r="BJ181" s="105"/>
      <c r="BK181" s="113"/>
      <c r="BL181" s="113"/>
      <c r="BM181" s="105"/>
      <c r="BN181" s="113"/>
      <c r="BO181" s="152"/>
      <c r="BP181" s="146"/>
      <c r="BQ181" s="112" t="s">
        <v>113</v>
      </c>
      <c r="BR181" s="113"/>
      <c r="BS181" s="105"/>
      <c r="BT181" s="146"/>
      <c r="BU181" s="105"/>
      <c r="BV181" s="105"/>
      <c r="BW181" s="112"/>
      <c r="BX181" s="113"/>
      <c r="BY181" s="105"/>
      <c r="BZ181" s="113"/>
      <c r="CA181" s="113"/>
      <c r="CB181" s="105"/>
      <c r="CC181" s="113"/>
      <c r="CD181" s="152"/>
      <c r="CE181" s="112"/>
      <c r="CF181" s="113"/>
      <c r="CG181" s="105"/>
      <c r="CH181" s="146"/>
      <c r="CI181" s="105"/>
      <c r="CJ181" s="105"/>
      <c r="CK181" s="112"/>
      <c r="CL181" s="113"/>
      <c r="CM181" s="105"/>
      <c r="CN181" s="152"/>
      <c r="CO181" s="152"/>
      <c r="CP181" s="105"/>
      <c r="CQ181" s="113"/>
      <c r="CR181" s="152"/>
      <c r="CS181" s="112"/>
      <c r="CT181" s="113"/>
      <c r="CU181" s="105"/>
      <c r="CV181" s="146"/>
      <c r="CW181" s="105"/>
      <c r="CX181" s="105"/>
      <c r="CY181" s="112"/>
      <c r="CZ181" s="113"/>
      <c r="DA181" s="105"/>
      <c r="DB181" s="113"/>
      <c r="DC181" s="113"/>
      <c r="DD181" s="105"/>
      <c r="DE181" s="113"/>
      <c r="DF181" s="113"/>
      <c r="DG181" s="112"/>
      <c r="DH181" s="113"/>
      <c r="DI181" s="105"/>
      <c r="DJ181" s="146"/>
      <c r="DK181" s="105"/>
      <c r="DL181" s="105"/>
      <c r="DM181" s="112"/>
      <c r="DN181" s="113"/>
      <c r="DO181" s="105"/>
      <c r="DP181" s="113"/>
      <c r="DQ181" s="113"/>
      <c r="DR181" s="105"/>
      <c r="DS181" s="113"/>
      <c r="DT181" s="113"/>
      <c r="DU181" s="112"/>
      <c r="DV181" s="113"/>
      <c r="DW181" s="105"/>
      <c r="DX181" s="146"/>
      <c r="DY181" s="105"/>
      <c r="DZ181" s="105"/>
      <c r="EA181" s="112"/>
      <c r="EB181" s="113"/>
      <c r="EC181" s="105"/>
      <c r="ED181" s="113"/>
      <c r="EE181" s="113"/>
      <c r="EF181" s="105"/>
      <c r="EG181" s="113"/>
      <c r="EH181" s="113"/>
      <c r="EI181" s="112"/>
      <c r="EJ181" s="113"/>
      <c r="EK181" s="105"/>
      <c r="EL181" s="146"/>
      <c r="EM181" s="72" t="s">
        <v>115</v>
      </c>
      <c r="EN181" s="74">
        <v>2250</v>
      </c>
      <c r="EO181" s="73"/>
      <c r="EP181" s="72" t="s">
        <v>77</v>
      </c>
      <c r="EQ181" s="72"/>
      <c r="ER181" s="75"/>
      <c r="ES181" s="76"/>
      <c r="ET181" s="77"/>
      <c r="EU181" s="77"/>
      <c r="EV181" s="78"/>
      <c r="EW181" s="72"/>
      <c r="EX181" s="72"/>
      <c r="EY181" s="72" t="s">
        <v>100</v>
      </c>
      <c r="EZ181" s="72" t="s">
        <v>114</v>
      </c>
      <c r="FA181" s="72"/>
      <c r="FB181" s="78"/>
      <c r="FC181" s="78"/>
      <c r="FD181" s="146"/>
      <c r="FE181" s="78"/>
      <c r="FF181" s="78"/>
      <c r="FG181" s="78"/>
      <c r="FH181" s="78"/>
      <c r="FI181" s="78"/>
      <c r="FJ181" s="78"/>
      <c r="FK181" s="78"/>
      <c r="FL181" s="78"/>
      <c r="FM181" s="78"/>
      <c r="FN181" s="78"/>
      <c r="FO181" s="146"/>
      <c r="FP181" s="78"/>
      <c r="FQ181" s="78"/>
      <c r="FR181" s="78"/>
      <c r="FS181" s="78"/>
      <c r="FT181" s="78"/>
      <c r="FU181" s="78"/>
      <c r="FV181" s="78"/>
      <c r="FW181" s="78"/>
      <c r="FX181" s="78"/>
      <c r="FY181" s="78"/>
    </row>
    <row r="182" spans="1:181" s="71" customFormat="1" ht="16.350000000000001" customHeight="1" x14ac:dyDescent="0.25">
      <c r="A182" s="109"/>
      <c r="B182" s="70"/>
      <c r="C182" s="110"/>
      <c r="D182" s="110"/>
      <c r="E182" s="146"/>
      <c r="F182" s="109" t="str">
        <f>mehrsprachigkeitBegriffsrückgabe(gewählteSpracheZurückgeben(), "Product (foreign language)")</f>
        <v>Produkt (Fremdsprache)</v>
      </c>
      <c r="G182" s="111"/>
      <c r="H182" s="111" t="s">
        <v>279</v>
      </c>
      <c r="I182" s="111" t="s">
        <v>94</v>
      </c>
      <c r="J182" s="111" t="s">
        <v>324</v>
      </c>
      <c r="K182" s="111"/>
      <c r="L182" s="146"/>
      <c r="M182" s="149"/>
      <c r="N182" s="111"/>
      <c r="O182" s="111"/>
      <c r="P182" s="111"/>
      <c r="Q182" s="111"/>
      <c r="R182" s="111"/>
      <c r="S182" s="111"/>
      <c r="T182" s="111"/>
      <c r="U182" s="111"/>
      <c r="V182" s="111"/>
      <c r="W182" s="111"/>
      <c r="X182" s="111"/>
      <c r="Y182" s="111"/>
      <c r="Z182" s="111"/>
      <c r="AA182" s="111"/>
      <c r="AB182" s="111"/>
      <c r="AC182" s="111"/>
      <c r="AD182" s="111"/>
      <c r="AE182" s="111"/>
      <c r="AF182" s="111"/>
      <c r="AG182" s="111"/>
      <c r="AH182" s="111"/>
      <c r="AI182" s="111"/>
      <c r="AJ182" s="111"/>
      <c r="AK182" s="111"/>
      <c r="AL182" s="111"/>
      <c r="AM182" s="111"/>
      <c r="AN182" s="111"/>
      <c r="AO182" s="111"/>
      <c r="AP182" s="111"/>
      <c r="AQ182" s="111"/>
      <c r="AR182" s="111"/>
      <c r="AS182" s="111"/>
      <c r="AT182" s="111"/>
      <c r="AU182" s="111"/>
      <c r="AV182" s="111"/>
      <c r="AW182" s="111"/>
      <c r="AX182" s="111"/>
      <c r="AY182" s="111"/>
      <c r="AZ182" s="111"/>
      <c r="BA182" s="146"/>
      <c r="BB182" s="104" t="s">
        <v>99</v>
      </c>
      <c r="BC182" s="72" t="s">
        <v>95</v>
      </c>
      <c r="BD182" s="72"/>
      <c r="BE182" s="72"/>
      <c r="BF182" s="146"/>
      <c r="BG182" s="112" t="s">
        <v>113</v>
      </c>
      <c r="BH182" s="113"/>
      <c r="BI182" s="146"/>
      <c r="BJ182" s="105"/>
      <c r="BK182" s="113"/>
      <c r="BL182" s="113"/>
      <c r="BM182" s="105"/>
      <c r="BN182" s="113"/>
      <c r="BO182" s="113"/>
      <c r="BP182" s="146"/>
      <c r="BQ182" s="112" t="s">
        <v>113</v>
      </c>
      <c r="BR182" s="113"/>
      <c r="BS182" s="105"/>
      <c r="BT182" s="146"/>
      <c r="BU182" s="105"/>
      <c r="BV182" s="105"/>
      <c r="BW182" s="112"/>
      <c r="BX182" s="113"/>
      <c r="BY182" s="105"/>
      <c r="BZ182" s="113"/>
      <c r="CA182" s="113"/>
      <c r="CB182" s="105"/>
      <c r="CC182" s="113"/>
      <c r="CD182" s="113"/>
      <c r="CE182" s="112"/>
      <c r="CF182" s="113"/>
      <c r="CG182" s="105"/>
      <c r="CH182" s="146"/>
      <c r="CI182" s="105"/>
      <c r="CJ182" s="105"/>
      <c r="CK182" s="112"/>
      <c r="CL182" s="113"/>
      <c r="CM182" s="105"/>
      <c r="CN182" s="113"/>
      <c r="CO182" s="113"/>
      <c r="CP182" s="105"/>
      <c r="CQ182" s="113"/>
      <c r="CR182" s="113"/>
      <c r="CS182" s="112"/>
      <c r="CT182" s="113"/>
      <c r="CU182" s="105"/>
      <c r="CV182" s="146"/>
      <c r="CW182" s="105"/>
      <c r="CX182" s="105"/>
      <c r="CY182" s="112"/>
      <c r="CZ182" s="113"/>
      <c r="DA182" s="105"/>
      <c r="DB182" s="113"/>
      <c r="DC182" s="113"/>
      <c r="DD182" s="105"/>
      <c r="DE182" s="113"/>
      <c r="DF182" s="113"/>
      <c r="DG182" s="112"/>
      <c r="DH182" s="113"/>
      <c r="DI182" s="105"/>
      <c r="DJ182" s="146"/>
      <c r="DK182" s="105"/>
      <c r="DL182" s="105"/>
      <c r="DM182" s="112"/>
      <c r="DN182" s="113"/>
      <c r="DO182" s="105"/>
      <c r="DP182" s="113"/>
      <c r="DQ182" s="113"/>
      <c r="DR182" s="105"/>
      <c r="DS182" s="113"/>
      <c r="DT182" s="113"/>
      <c r="DU182" s="112"/>
      <c r="DV182" s="113"/>
      <c r="DW182" s="105"/>
      <c r="DX182" s="146"/>
      <c r="DY182" s="105"/>
      <c r="DZ182" s="105"/>
      <c r="EA182" s="112"/>
      <c r="EB182" s="113"/>
      <c r="EC182" s="105"/>
      <c r="ED182" s="113"/>
      <c r="EE182" s="113"/>
      <c r="EF182" s="105"/>
      <c r="EG182" s="113"/>
      <c r="EH182" s="113"/>
      <c r="EI182" s="112"/>
      <c r="EJ182" s="113"/>
      <c r="EK182" s="105"/>
      <c r="EL182" s="146"/>
      <c r="EM182" s="72"/>
      <c r="EN182" s="74"/>
      <c r="EO182" s="73"/>
      <c r="EP182" s="72" t="s">
        <v>96</v>
      </c>
      <c r="EQ182" s="72"/>
      <c r="ER182" s="75"/>
      <c r="ES182" s="76"/>
      <c r="ET182" s="77"/>
      <c r="EU182" s="77"/>
      <c r="EV182" s="78"/>
      <c r="EW182" s="72"/>
      <c r="EX182" s="72"/>
      <c r="EY182" s="72"/>
      <c r="EZ182" s="72"/>
      <c r="FA182" s="72"/>
      <c r="FB182" s="78"/>
      <c r="FC182" s="78"/>
      <c r="FD182" s="146"/>
      <c r="FE182" s="78"/>
      <c r="FF182" s="78"/>
      <c r="FG182" s="78"/>
      <c r="FO182" s="146"/>
      <c r="FP182" s="78"/>
      <c r="FQ182" s="78"/>
      <c r="FR182" s="78"/>
    </row>
    <row r="183" spans="1:181" s="71" customFormat="1" ht="16.350000000000001" customHeight="1" x14ac:dyDescent="0.25">
      <c r="A183" s="109"/>
      <c r="B183" s="70"/>
      <c r="C183" s="110"/>
      <c r="D183" s="110">
        <v>1</v>
      </c>
      <c r="E183" s="146"/>
      <c r="F183" s="109" t="str">
        <f>mehrsprachigkeitBegriffsrückgabe(gewählteSpracheZurückgeben(), "Product")</f>
        <v>Produkt</v>
      </c>
      <c r="G183" s="111" t="s">
        <v>280</v>
      </c>
      <c r="H183" s="111"/>
      <c r="I183" s="111" t="s">
        <v>86</v>
      </c>
      <c r="J183" s="111" t="s">
        <v>373</v>
      </c>
      <c r="K183" s="111"/>
      <c r="L183" s="146"/>
      <c r="M183" s="149" t="s">
        <v>392</v>
      </c>
      <c r="N183" s="111" t="s">
        <v>400</v>
      </c>
      <c r="O183" s="114"/>
      <c r="P183" s="114"/>
      <c r="Q183" s="111"/>
      <c r="R183" s="111"/>
      <c r="S183" s="111"/>
      <c r="T183" s="111"/>
      <c r="U183" s="111"/>
      <c r="V183" s="111"/>
      <c r="W183" s="111"/>
      <c r="X183" s="111"/>
      <c r="Y183" s="111"/>
      <c r="Z183" s="111"/>
      <c r="AA183" s="111"/>
      <c r="AB183" s="111"/>
      <c r="AC183" s="111"/>
      <c r="AD183" s="111"/>
      <c r="AE183" s="111"/>
      <c r="AF183" s="111"/>
      <c r="AG183" s="111"/>
      <c r="AH183" s="111"/>
      <c r="AI183" s="111"/>
      <c r="AJ183" s="111"/>
      <c r="AK183" s="111"/>
      <c r="AL183" s="111"/>
      <c r="AM183" s="111"/>
      <c r="AN183" s="111"/>
      <c r="AO183" s="111"/>
      <c r="AP183" s="111"/>
      <c r="AQ183" s="111"/>
      <c r="AR183" s="111"/>
      <c r="AS183" s="111"/>
      <c r="AT183" s="111"/>
      <c r="AU183" s="111"/>
      <c r="AV183" s="111"/>
      <c r="AW183" s="111"/>
      <c r="AX183" s="111"/>
      <c r="AY183" s="111"/>
      <c r="AZ183" s="111"/>
      <c r="BA183" s="146"/>
      <c r="BB183" s="104" t="s">
        <v>98</v>
      </c>
      <c r="BC183" s="72" t="s">
        <v>93</v>
      </c>
      <c r="BD183" s="72" t="s">
        <v>508</v>
      </c>
      <c r="BE183" s="72" t="s">
        <v>412</v>
      </c>
      <c r="BF183" s="146"/>
      <c r="BG183" s="112">
        <v>69.900000000000006</v>
      </c>
      <c r="BH183" s="113"/>
      <c r="BI183" s="146"/>
      <c r="BJ183" s="105"/>
      <c r="BK183" s="113"/>
      <c r="BL183" s="113"/>
      <c r="BM183" s="105"/>
      <c r="BN183" s="113"/>
      <c r="BO183" s="152"/>
      <c r="BP183" s="146"/>
      <c r="BQ183" s="112" t="s">
        <v>113</v>
      </c>
      <c r="BR183" s="113"/>
      <c r="BS183" s="105"/>
      <c r="BT183" s="146"/>
      <c r="BU183" s="105"/>
      <c r="BV183" s="105"/>
      <c r="BW183" s="112"/>
      <c r="BX183" s="113"/>
      <c r="BY183" s="105"/>
      <c r="BZ183" s="113"/>
      <c r="CA183" s="113"/>
      <c r="CB183" s="105"/>
      <c r="CC183" s="113"/>
      <c r="CD183" s="152"/>
      <c r="CE183" s="112"/>
      <c r="CF183" s="113"/>
      <c r="CG183" s="105"/>
      <c r="CH183" s="146"/>
      <c r="CI183" s="105"/>
      <c r="CJ183" s="105"/>
      <c r="CK183" s="112"/>
      <c r="CL183" s="113"/>
      <c r="CM183" s="105"/>
      <c r="CN183" s="152"/>
      <c r="CO183" s="152"/>
      <c r="CP183" s="105"/>
      <c r="CQ183" s="113"/>
      <c r="CR183" s="152"/>
      <c r="CS183" s="112"/>
      <c r="CT183" s="113"/>
      <c r="CU183" s="105"/>
      <c r="CV183" s="146"/>
      <c r="CW183" s="105"/>
      <c r="CX183" s="105"/>
      <c r="CY183" s="112"/>
      <c r="CZ183" s="113"/>
      <c r="DA183" s="105"/>
      <c r="DB183" s="113"/>
      <c r="DC183" s="113"/>
      <c r="DD183" s="105"/>
      <c r="DE183" s="113"/>
      <c r="DF183" s="113"/>
      <c r="DG183" s="112"/>
      <c r="DH183" s="113"/>
      <c r="DI183" s="105"/>
      <c r="DJ183" s="146"/>
      <c r="DK183" s="105"/>
      <c r="DL183" s="105"/>
      <c r="DM183" s="112"/>
      <c r="DN183" s="113"/>
      <c r="DO183" s="105"/>
      <c r="DP183" s="113"/>
      <c r="DQ183" s="113"/>
      <c r="DR183" s="105"/>
      <c r="DS183" s="113"/>
      <c r="DT183" s="113"/>
      <c r="DU183" s="112"/>
      <c r="DV183" s="113"/>
      <c r="DW183" s="105"/>
      <c r="DX183" s="146"/>
      <c r="DY183" s="105"/>
      <c r="DZ183" s="105"/>
      <c r="EA183" s="112"/>
      <c r="EB183" s="113"/>
      <c r="EC183" s="105"/>
      <c r="ED183" s="113"/>
      <c r="EE183" s="113"/>
      <c r="EF183" s="105"/>
      <c r="EG183" s="113"/>
      <c r="EH183" s="113"/>
      <c r="EI183" s="112"/>
      <c r="EJ183" s="113"/>
      <c r="EK183" s="105"/>
      <c r="EL183" s="146"/>
      <c r="EM183" s="72" t="s">
        <v>115</v>
      </c>
      <c r="EN183" s="74">
        <v>2250</v>
      </c>
      <c r="EO183" s="73"/>
      <c r="EP183" s="72" t="s">
        <v>77</v>
      </c>
      <c r="EQ183" s="72"/>
      <c r="ER183" s="75"/>
      <c r="ES183" s="76"/>
      <c r="ET183" s="77">
        <v>1</v>
      </c>
      <c r="EU183" s="77"/>
      <c r="EV183" s="78"/>
      <c r="EW183" s="72"/>
      <c r="EX183" s="72"/>
      <c r="EY183" s="72" t="s">
        <v>100</v>
      </c>
      <c r="EZ183" s="72" t="s">
        <v>114</v>
      </c>
      <c r="FA183" s="72"/>
      <c r="FB183" s="78"/>
      <c r="FC183" s="78"/>
      <c r="FD183" s="146"/>
      <c r="FE183" s="78"/>
      <c r="FF183" s="78"/>
      <c r="FG183" s="78"/>
      <c r="FH183" s="78"/>
      <c r="FI183" s="78"/>
      <c r="FJ183" s="78"/>
      <c r="FK183" s="78"/>
      <c r="FL183" s="78"/>
      <c r="FM183" s="78"/>
      <c r="FN183" s="78"/>
      <c r="FO183" s="146"/>
      <c r="FP183" s="78"/>
      <c r="FQ183" s="78"/>
      <c r="FR183" s="78"/>
      <c r="FS183" s="78"/>
      <c r="FT183" s="78"/>
      <c r="FU183" s="78"/>
      <c r="FV183" s="78"/>
      <c r="FW183" s="78"/>
      <c r="FX183" s="78"/>
      <c r="FY183" s="78"/>
    </row>
    <row r="184" spans="1:181" s="71" customFormat="1" ht="16.350000000000001" customHeight="1" x14ac:dyDescent="0.25">
      <c r="A184" s="109"/>
      <c r="B184" s="70"/>
      <c r="C184" s="110"/>
      <c r="D184" s="110"/>
      <c r="E184" s="146"/>
      <c r="F184" s="109" t="str">
        <f>mehrsprachigkeitBegriffsrückgabe(gewählteSpracheZurückgeben(), "Product (foreign language)")</f>
        <v>Produkt (Fremdsprache)</v>
      </c>
      <c r="G184" s="111"/>
      <c r="H184" s="111" t="s">
        <v>280</v>
      </c>
      <c r="I184" s="111" t="s">
        <v>94</v>
      </c>
      <c r="J184" s="111" t="s">
        <v>325</v>
      </c>
      <c r="K184" s="111"/>
      <c r="L184" s="146"/>
      <c r="M184" s="149"/>
      <c r="N184" s="111"/>
      <c r="O184" s="111"/>
      <c r="P184" s="111"/>
      <c r="Q184" s="111"/>
      <c r="R184" s="111"/>
      <c r="S184" s="111"/>
      <c r="T184" s="111"/>
      <c r="U184" s="111"/>
      <c r="V184" s="111"/>
      <c r="W184" s="111"/>
      <c r="X184" s="111"/>
      <c r="Y184" s="111"/>
      <c r="Z184" s="111"/>
      <c r="AA184" s="111"/>
      <c r="AB184" s="111"/>
      <c r="AC184" s="111"/>
      <c r="AD184" s="111"/>
      <c r="AE184" s="111"/>
      <c r="AF184" s="111"/>
      <c r="AG184" s="111"/>
      <c r="AH184" s="111"/>
      <c r="AI184" s="111"/>
      <c r="AJ184" s="111"/>
      <c r="AK184" s="111"/>
      <c r="AL184" s="111"/>
      <c r="AM184" s="111"/>
      <c r="AN184" s="111"/>
      <c r="AO184" s="111"/>
      <c r="AP184" s="111"/>
      <c r="AQ184" s="111"/>
      <c r="AR184" s="111"/>
      <c r="AS184" s="111"/>
      <c r="AT184" s="111"/>
      <c r="AU184" s="111"/>
      <c r="AV184" s="111"/>
      <c r="AW184" s="111"/>
      <c r="AX184" s="111"/>
      <c r="AY184" s="111"/>
      <c r="AZ184" s="111"/>
      <c r="BA184" s="146"/>
      <c r="BB184" s="104" t="s">
        <v>99</v>
      </c>
      <c r="BC184" s="72" t="s">
        <v>95</v>
      </c>
      <c r="BD184" s="72"/>
      <c r="BE184" s="72"/>
      <c r="BF184" s="146"/>
      <c r="BG184" s="112" t="s">
        <v>113</v>
      </c>
      <c r="BH184" s="113"/>
      <c r="BI184" s="146"/>
      <c r="BJ184" s="105"/>
      <c r="BK184" s="113"/>
      <c r="BL184" s="113"/>
      <c r="BM184" s="105"/>
      <c r="BN184" s="113"/>
      <c r="BO184" s="113"/>
      <c r="BP184" s="146"/>
      <c r="BQ184" s="112" t="s">
        <v>113</v>
      </c>
      <c r="BR184" s="113"/>
      <c r="BS184" s="105"/>
      <c r="BT184" s="146"/>
      <c r="BU184" s="105"/>
      <c r="BV184" s="105"/>
      <c r="BW184" s="112"/>
      <c r="BX184" s="113"/>
      <c r="BY184" s="105"/>
      <c r="BZ184" s="113"/>
      <c r="CA184" s="113"/>
      <c r="CB184" s="105"/>
      <c r="CC184" s="113"/>
      <c r="CD184" s="113"/>
      <c r="CE184" s="112"/>
      <c r="CF184" s="113"/>
      <c r="CG184" s="105"/>
      <c r="CH184" s="146"/>
      <c r="CI184" s="105"/>
      <c r="CJ184" s="105"/>
      <c r="CK184" s="112"/>
      <c r="CL184" s="113"/>
      <c r="CM184" s="105"/>
      <c r="CN184" s="113"/>
      <c r="CO184" s="113"/>
      <c r="CP184" s="105"/>
      <c r="CQ184" s="113"/>
      <c r="CR184" s="113"/>
      <c r="CS184" s="112"/>
      <c r="CT184" s="113"/>
      <c r="CU184" s="105"/>
      <c r="CV184" s="146"/>
      <c r="CW184" s="105"/>
      <c r="CX184" s="105"/>
      <c r="CY184" s="112"/>
      <c r="CZ184" s="113"/>
      <c r="DA184" s="105"/>
      <c r="DB184" s="113"/>
      <c r="DC184" s="113"/>
      <c r="DD184" s="105"/>
      <c r="DE184" s="113"/>
      <c r="DF184" s="113"/>
      <c r="DG184" s="112"/>
      <c r="DH184" s="113"/>
      <c r="DI184" s="105"/>
      <c r="DJ184" s="146"/>
      <c r="DK184" s="105"/>
      <c r="DL184" s="105"/>
      <c r="DM184" s="112"/>
      <c r="DN184" s="113"/>
      <c r="DO184" s="105"/>
      <c r="DP184" s="113"/>
      <c r="DQ184" s="113"/>
      <c r="DR184" s="105"/>
      <c r="DS184" s="113"/>
      <c r="DT184" s="113"/>
      <c r="DU184" s="112"/>
      <c r="DV184" s="113"/>
      <c r="DW184" s="105"/>
      <c r="DX184" s="146"/>
      <c r="DY184" s="105"/>
      <c r="DZ184" s="105"/>
      <c r="EA184" s="112"/>
      <c r="EB184" s="113"/>
      <c r="EC184" s="105"/>
      <c r="ED184" s="113"/>
      <c r="EE184" s="113"/>
      <c r="EF184" s="105"/>
      <c r="EG184" s="113"/>
      <c r="EH184" s="113"/>
      <c r="EI184" s="112"/>
      <c r="EJ184" s="113"/>
      <c r="EK184" s="105"/>
      <c r="EL184" s="146"/>
      <c r="EM184" s="72"/>
      <c r="EN184" s="74"/>
      <c r="EO184" s="73"/>
      <c r="EP184" s="72" t="s">
        <v>96</v>
      </c>
      <c r="EQ184" s="72"/>
      <c r="ER184" s="75"/>
      <c r="ES184" s="76"/>
      <c r="ET184" s="77"/>
      <c r="EU184" s="77"/>
      <c r="EV184" s="78"/>
      <c r="EW184" s="72"/>
      <c r="EX184" s="72"/>
      <c r="EY184" s="72"/>
      <c r="EZ184" s="72"/>
      <c r="FA184" s="72"/>
      <c r="FB184" s="78"/>
      <c r="FC184" s="78"/>
      <c r="FD184" s="146"/>
      <c r="FE184" s="78"/>
      <c r="FF184" s="78"/>
      <c r="FG184" s="78"/>
      <c r="FO184" s="146"/>
      <c r="FP184" s="78"/>
      <c r="FQ184" s="78"/>
      <c r="FR184" s="78"/>
    </row>
    <row r="185" spans="1:181" s="71" customFormat="1" ht="16.350000000000001" customHeight="1" x14ac:dyDescent="0.25">
      <c r="A185" s="109"/>
      <c r="B185" s="70"/>
      <c r="C185" s="110"/>
      <c r="D185" s="110">
        <v>1</v>
      </c>
      <c r="E185" s="146"/>
      <c r="F185" s="109" t="str">
        <f>mehrsprachigkeitBegriffsrückgabe(gewählteSpracheZurückgeben(), "Product")</f>
        <v>Produkt</v>
      </c>
      <c r="G185" s="111" t="s">
        <v>281</v>
      </c>
      <c r="H185" s="111"/>
      <c r="I185" s="111" t="s">
        <v>86</v>
      </c>
      <c r="J185" s="111" t="s">
        <v>374</v>
      </c>
      <c r="K185" s="111"/>
      <c r="L185" s="146"/>
      <c r="M185" s="149" t="s">
        <v>392</v>
      </c>
      <c r="N185" s="111" t="s">
        <v>397</v>
      </c>
      <c r="O185" s="114"/>
      <c r="P185" s="114"/>
      <c r="Q185" s="111"/>
      <c r="R185" s="111"/>
      <c r="S185" s="111"/>
      <c r="T185" s="111"/>
      <c r="U185" s="111"/>
      <c r="V185" s="111"/>
      <c r="W185" s="111"/>
      <c r="X185" s="111"/>
      <c r="Y185" s="111"/>
      <c r="Z185" s="111"/>
      <c r="AA185" s="111"/>
      <c r="AB185" s="111"/>
      <c r="AC185" s="111"/>
      <c r="AD185" s="111"/>
      <c r="AE185" s="111"/>
      <c r="AF185" s="111"/>
      <c r="AG185" s="111"/>
      <c r="AH185" s="111"/>
      <c r="AI185" s="111"/>
      <c r="AJ185" s="111"/>
      <c r="AK185" s="111"/>
      <c r="AL185" s="111"/>
      <c r="AM185" s="111"/>
      <c r="AN185" s="111"/>
      <c r="AO185" s="111"/>
      <c r="AP185" s="111"/>
      <c r="AQ185" s="111"/>
      <c r="AR185" s="111"/>
      <c r="AS185" s="111"/>
      <c r="AT185" s="111"/>
      <c r="AU185" s="111"/>
      <c r="AV185" s="111"/>
      <c r="AW185" s="111"/>
      <c r="AX185" s="111"/>
      <c r="AY185" s="111"/>
      <c r="AZ185" s="111"/>
      <c r="BA185" s="146"/>
      <c r="BB185" s="104" t="s">
        <v>98</v>
      </c>
      <c r="BC185" s="72" t="s">
        <v>93</v>
      </c>
      <c r="BD185" s="72" t="s">
        <v>508</v>
      </c>
      <c r="BE185" s="72" t="s">
        <v>412</v>
      </c>
      <c r="BF185" s="146"/>
      <c r="BG185" s="112">
        <v>89.9</v>
      </c>
      <c r="BH185" s="113"/>
      <c r="BI185" s="146"/>
      <c r="BJ185" s="105"/>
      <c r="BK185" s="113"/>
      <c r="BL185" s="113"/>
      <c r="BM185" s="105"/>
      <c r="BN185" s="113"/>
      <c r="BO185" s="152"/>
      <c r="BP185" s="146"/>
      <c r="BQ185" s="112" t="s">
        <v>113</v>
      </c>
      <c r="BR185" s="113"/>
      <c r="BS185" s="105"/>
      <c r="BT185" s="146"/>
      <c r="BU185" s="105"/>
      <c r="BV185" s="105"/>
      <c r="BW185" s="112"/>
      <c r="BX185" s="113"/>
      <c r="BY185" s="105"/>
      <c r="BZ185" s="113"/>
      <c r="CA185" s="113"/>
      <c r="CB185" s="105"/>
      <c r="CC185" s="113"/>
      <c r="CD185" s="152"/>
      <c r="CE185" s="112"/>
      <c r="CF185" s="113"/>
      <c r="CG185" s="105"/>
      <c r="CH185" s="146"/>
      <c r="CI185" s="105"/>
      <c r="CJ185" s="105"/>
      <c r="CK185" s="112"/>
      <c r="CL185" s="113"/>
      <c r="CM185" s="105"/>
      <c r="CN185" s="152"/>
      <c r="CO185" s="152"/>
      <c r="CP185" s="105"/>
      <c r="CQ185" s="113"/>
      <c r="CR185" s="152"/>
      <c r="CS185" s="112"/>
      <c r="CT185" s="113"/>
      <c r="CU185" s="105"/>
      <c r="CV185" s="146"/>
      <c r="CW185" s="105"/>
      <c r="CX185" s="105"/>
      <c r="CY185" s="112"/>
      <c r="CZ185" s="113"/>
      <c r="DA185" s="105"/>
      <c r="DB185" s="113"/>
      <c r="DC185" s="113"/>
      <c r="DD185" s="105"/>
      <c r="DE185" s="113"/>
      <c r="DF185" s="113"/>
      <c r="DG185" s="112"/>
      <c r="DH185" s="113"/>
      <c r="DI185" s="105"/>
      <c r="DJ185" s="146"/>
      <c r="DK185" s="105"/>
      <c r="DL185" s="105"/>
      <c r="DM185" s="112"/>
      <c r="DN185" s="113"/>
      <c r="DO185" s="105"/>
      <c r="DP185" s="113"/>
      <c r="DQ185" s="113"/>
      <c r="DR185" s="105"/>
      <c r="DS185" s="113"/>
      <c r="DT185" s="113"/>
      <c r="DU185" s="112"/>
      <c r="DV185" s="113"/>
      <c r="DW185" s="105"/>
      <c r="DX185" s="146"/>
      <c r="DY185" s="105"/>
      <c r="DZ185" s="105"/>
      <c r="EA185" s="112"/>
      <c r="EB185" s="113"/>
      <c r="EC185" s="105"/>
      <c r="ED185" s="113"/>
      <c r="EE185" s="113"/>
      <c r="EF185" s="105"/>
      <c r="EG185" s="113"/>
      <c r="EH185" s="113"/>
      <c r="EI185" s="112"/>
      <c r="EJ185" s="113"/>
      <c r="EK185" s="105"/>
      <c r="EL185" s="146"/>
      <c r="EM185" s="72" t="s">
        <v>115</v>
      </c>
      <c r="EN185" s="74">
        <v>2250</v>
      </c>
      <c r="EO185" s="73"/>
      <c r="EP185" s="72" t="s">
        <v>77</v>
      </c>
      <c r="EQ185" s="72"/>
      <c r="ER185" s="75"/>
      <c r="ES185" s="76"/>
      <c r="ET185" s="77">
        <v>1</v>
      </c>
      <c r="EU185" s="77"/>
      <c r="EV185" s="78"/>
      <c r="EW185" s="72"/>
      <c r="EX185" s="72"/>
      <c r="EY185" s="72" t="s">
        <v>100</v>
      </c>
      <c r="EZ185" s="72" t="s">
        <v>114</v>
      </c>
      <c r="FA185" s="72"/>
      <c r="FB185" s="78"/>
      <c r="FC185" s="78"/>
      <c r="FD185" s="146"/>
      <c r="FE185" s="78"/>
      <c r="FF185" s="78"/>
      <c r="FG185" s="78"/>
      <c r="FH185" s="78"/>
      <c r="FI185" s="78"/>
      <c r="FJ185" s="78"/>
      <c r="FK185" s="78"/>
      <c r="FL185" s="78"/>
      <c r="FM185" s="78"/>
      <c r="FN185" s="78"/>
      <c r="FO185" s="146"/>
      <c r="FP185" s="78"/>
      <c r="FQ185" s="78"/>
      <c r="FR185" s="78"/>
      <c r="FS185" s="78"/>
      <c r="FT185" s="78"/>
      <c r="FU185" s="78"/>
      <c r="FV185" s="78"/>
      <c r="FW185" s="78"/>
      <c r="FX185" s="78"/>
      <c r="FY185" s="78"/>
    </row>
    <row r="186" spans="1:181" s="71" customFormat="1" ht="16.350000000000001" customHeight="1" x14ac:dyDescent="0.25">
      <c r="A186" s="109"/>
      <c r="B186" s="70"/>
      <c r="C186" s="110"/>
      <c r="D186" s="110"/>
      <c r="E186" s="146"/>
      <c r="F186" s="109" t="str">
        <f>mehrsprachigkeitBegriffsrückgabe(gewählteSpracheZurückgeben(), "Product (foreign language)")</f>
        <v>Produkt (Fremdsprache)</v>
      </c>
      <c r="G186" s="111"/>
      <c r="H186" s="111" t="s">
        <v>281</v>
      </c>
      <c r="I186" s="111" t="s">
        <v>94</v>
      </c>
      <c r="J186" s="111" t="s">
        <v>326</v>
      </c>
      <c r="K186" s="111"/>
      <c r="L186" s="146"/>
      <c r="M186" s="149"/>
      <c r="N186" s="111"/>
      <c r="O186" s="111"/>
      <c r="P186" s="111"/>
      <c r="Q186" s="111"/>
      <c r="R186" s="111"/>
      <c r="S186" s="111"/>
      <c r="T186" s="111"/>
      <c r="U186" s="111"/>
      <c r="V186" s="111"/>
      <c r="W186" s="111"/>
      <c r="X186" s="111"/>
      <c r="Y186" s="111"/>
      <c r="Z186" s="111"/>
      <c r="AA186" s="111"/>
      <c r="AB186" s="111"/>
      <c r="AC186" s="111"/>
      <c r="AD186" s="111"/>
      <c r="AE186" s="111"/>
      <c r="AF186" s="111"/>
      <c r="AG186" s="111"/>
      <c r="AH186" s="111"/>
      <c r="AI186" s="111"/>
      <c r="AJ186" s="111"/>
      <c r="AK186" s="111"/>
      <c r="AL186" s="111"/>
      <c r="AM186" s="111"/>
      <c r="AN186" s="111"/>
      <c r="AO186" s="111"/>
      <c r="AP186" s="111"/>
      <c r="AQ186" s="111"/>
      <c r="AR186" s="111"/>
      <c r="AS186" s="111"/>
      <c r="AT186" s="111"/>
      <c r="AU186" s="111"/>
      <c r="AV186" s="111"/>
      <c r="AW186" s="111"/>
      <c r="AX186" s="111"/>
      <c r="AY186" s="111"/>
      <c r="AZ186" s="111"/>
      <c r="BA186" s="146"/>
      <c r="BB186" s="104" t="s">
        <v>99</v>
      </c>
      <c r="BC186" s="72" t="s">
        <v>95</v>
      </c>
      <c r="BD186" s="72"/>
      <c r="BE186" s="72"/>
      <c r="BF186" s="146"/>
      <c r="BG186" s="112" t="s">
        <v>113</v>
      </c>
      <c r="BH186" s="113"/>
      <c r="BI186" s="146"/>
      <c r="BJ186" s="105"/>
      <c r="BK186" s="113"/>
      <c r="BL186" s="113"/>
      <c r="BM186" s="105"/>
      <c r="BN186" s="113"/>
      <c r="BO186" s="113"/>
      <c r="BP186" s="146"/>
      <c r="BQ186" s="112" t="s">
        <v>113</v>
      </c>
      <c r="BR186" s="113"/>
      <c r="BS186" s="105"/>
      <c r="BT186" s="146"/>
      <c r="BU186" s="105"/>
      <c r="BV186" s="105"/>
      <c r="BW186" s="112"/>
      <c r="BX186" s="113"/>
      <c r="BY186" s="105"/>
      <c r="BZ186" s="113"/>
      <c r="CA186" s="113"/>
      <c r="CB186" s="105"/>
      <c r="CC186" s="113"/>
      <c r="CD186" s="113"/>
      <c r="CE186" s="112"/>
      <c r="CF186" s="113"/>
      <c r="CG186" s="105"/>
      <c r="CH186" s="146"/>
      <c r="CI186" s="105"/>
      <c r="CJ186" s="105"/>
      <c r="CK186" s="112"/>
      <c r="CL186" s="113"/>
      <c r="CM186" s="105"/>
      <c r="CN186" s="113"/>
      <c r="CO186" s="113"/>
      <c r="CP186" s="105"/>
      <c r="CQ186" s="113"/>
      <c r="CR186" s="113"/>
      <c r="CS186" s="112"/>
      <c r="CT186" s="113"/>
      <c r="CU186" s="105"/>
      <c r="CV186" s="146"/>
      <c r="CW186" s="105"/>
      <c r="CX186" s="105"/>
      <c r="CY186" s="112"/>
      <c r="CZ186" s="113"/>
      <c r="DA186" s="105"/>
      <c r="DB186" s="113"/>
      <c r="DC186" s="113"/>
      <c r="DD186" s="105"/>
      <c r="DE186" s="113"/>
      <c r="DF186" s="113"/>
      <c r="DG186" s="112"/>
      <c r="DH186" s="113"/>
      <c r="DI186" s="105"/>
      <c r="DJ186" s="146"/>
      <c r="DK186" s="105"/>
      <c r="DL186" s="105"/>
      <c r="DM186" s="112"/>
      <c r="DN186" s="113"/>
      <c r="DO186" s="105"/>
      <c r="DP186" s="113"/>
      <c r="DQ186" s="113"/>
      <c r="DR186" s="105"/>
      <c r="DS186" s="113"/>
      <c r="DT186" s="113"/>
      <c r="DU186" s="112"/>
      <c r="DV186" s="113"/>
      <c r="DW186" s="105"/>
      <c r="DX186" s="146"/>
      <c r="DY186" s="105"/>
      <c r="DZ186" s="105"/>
      <c r="EA186" s="112"/>
      <c r="EB186" s="113"/>
      <c r="EC186" s="105"/>
      <c r="ED186" s="113"/>
      <c r="EE186" s="113"/>
      <c r="EF186" s="105"/>
      <c r="EG186" s="113"/>
      <c r="EH186" s="113"/>
      <c r="EI186" s="112"/>
      <c r="EJ186" s="113"/>
      <c r="EK186" s="105"/>
      <c r="EL186" s="146"/>
      <c r="EM186" s="72"/>
      <c r="EN186" s="74"/>
      <c r="EO186" s="73"/>
      <c r="EP186" s="72" t="s">
        <v>96</v>
      </c>
      <c r="EQ186" s="72"/>
      <c r="ER186" s="75"/>
      <c r="ES186" s="76"/>
      <c r="ET186" s="77"/>
      <c r="EU186" s="77"/>
      <c r="EV186" s="78"/>
      <c r="EW186" s="72"/>
      <c r="EX186" s="72"/>
      <c r="EY186" s="72"/>
      <c r="EZ186" s="72"/>
      <c r="FA186" s="72"/>
      <c r="FB186" s="78"/>
      <c r="FC186" s="78"/>
      <c r="FD186" s="146"/>
      <c r="FE186" s="78"/>
      <c r="FF186" s="78"/>
      <c r="FG186" s="78"/>
      <c r="FO186" s="146"/>
      <c r="FP186" s="78"/>
      <c r="FQ186" s="78"/>
      <c r="FR186" s="78"/>
    </row>
    <row r="187" spans="1:181" s="71" customFormat="1" ht="16.350000000000001" customHeight="1" x14ac:dyDescent="0.25">
      <c r="A187" s="109"/>
      <c r="B187" s="70"/>
      <c r="C187" s="110"/>
      <c r="D187" s="110">
        <v>1</v>
      </c>
      <c r="E187" s="146"/>
      <c r="F187" s="109" t="str">
        <f>mehrsprachigkeitBegriffsrückgabe(gewählteSpracheZurückgeben(), "Product")</f>
        <v>Produkt</v>
      </c>
      <c r="G187" s="111" t="s">
        <v>282</v>
      </c>
      <c r="H187" s="111"/>
      <c r="I187" s="111" t="s">
        <v>86</v>
      </c>
      <c r="J187" s="111" t="s">
        <v>375</v>
      </c>
      <c r="K187" s="111"/>
      <c r="L187" s="146"/>
      <c r="M187" s="149" t="s">
        <v>392</v>
      </c>
      <c r="N187" s="111" t="s">
        <v>401</v>
      </c>
      <c r="O187" s="114"/>
      <c r="P187" s="114"/>
      <c r="Q187" s="111"/>
      <c r="R187" s="111"/>
      <c r="S187" s="111"/>
      <c r="T187" s="111"/>
      <c r="U187" s="111"/>
      <c r="V187" s="111"/>
      <c r="W187" s="111"/>
      <c r="X187" s="111"/>
      <c r="Y187" s="111"/>
      <c r="Z187" s="111"/>
      <c r="AA187" s="111"/>
      <c r="AB187" s="111"/>
      <c r="AC187" s="111"/>
      <c r="AD187" s="111"/>
      <c r="AE187" s="111"/>
      <c r="AF187" s="111"/>
      <c r="AG187" s="111"/>
      <c r="AH187" s="111"/>
      <c r="AI187" s="111"/>
      <c r="AJ187" s="111"/>
      <c r="AK187" s="111"/>
      <c r="AL187" s="111"/>
      <c r="AM187" s="111"/>
      <c r="AN187" s="111"/>
      <c r="AO187" s="111"/>
      <c r="AP187" s="111"/>
      <c r="AQ187" s="111"/>
      <c r="AR187" s="111"/>
      <c r="AS187" s="111"/>
      <c r="AT187" s="111"/>
      <c r="AU187" s="111"/>
      <c r="AV187" s="111"/>
      <c r="AW187" s="111"/>
      <c r="AX187" s="111"/>
      <c r="AY187" s="111"/>
      <c r="AZ187" s="111"/>
      <c r="BA187" s="146"/>
      <c r="BB187" s="104" t="s">
        <v>98</v>
      </c>
      <c r="BC187" s="72" t="s">
        <v>93</v>
      </c>
      <c r="BD187" s="72" t="s">
        <v>508</v>
      </c>
      <c r="BE187" s="72" t="s">
        <v>416</v>
      </c>
      <c r="BF187" s="146"/>
      <c r="BG187" s="112">
        <v>59.9</v>
      </c>
      <c r="BH187" s="113"/>
      <c r="BI187" s="146"/>
      <c r="BJ187" s="105"/>
      <c r="BK187" s="113"/>
      <c r="BL187" s="113"/>
      <c r="BM187" s="105"/>
      <c r="BN187" s="113"/>
      <c r="BO187" s="152"/>
      <c r="BP187" s="146"/>
      <c r="BQ187" s="112">
        <v>69.900000000000006</v>
      </c>
      <c r="BR187" s="113"/>
      <c r="BS187" s="105">
        <v>1</v>
      </c>
      <c r="BT187" s="146"/>
      <c r="BU187" s="105"/>
      <c r="BV187" s="105"/>
      <c r="BW187" s="112"/>
      <c r="BX187" s="113"/>
      <c r="BY187" s="105"/>
      <c r="BZ187" s="113"/>
      <c r="CA187" s="113"/>
      <c r="CB187" s="105"/>
      <c r="CC187" s="113"/>
      <c r="CD187" s="152"/>
      <c r="CE187" s="112"/>
      <c r="CF187" s="113"/>
      <c r="CG187" s="105"/>
      <c r="CH187" s="146"/>
      <c r="CI187" s="105"/>
      <c r="CJ187" s="105"/>
      <c r="CK187" s="112"/>
      <c r="CL187" s="113"/>
      <c r="CM187" s="105"/>
      <c r="CN187" s="152"/>
      <c r="CO187" s="152"/>
      <c r="CP187" s="105"/>
      <c r="CQ187" s="113"/>
      <c r="CR187" s="152"/>
      <c r="CS187" s="112"/>
      <c r="CT187" s="113"/>
      <c r="CU187" s="105"/>
      <c r="CV187" s="146"/>
      <c r="CW187" s="105"/>
      <c r="CX187" s="105"/>
      <c r="CY187" s="112"/>
      <c r="CZ187" s="113"/>
      <c r="DA187" s="105"/>
      <c r="DB187" s="113"/>
      <c r="DC187" s="113"/>
      <c r="DD187" s="105"/>
      <c r="DE187" s="113"/>
      <c r="DF187" s="113"/>
      <c r="DG187" s="112"/>
      <c r="DH187" s="113"/>
      <c r="DI187" s="105"/>
      <c r="DJ187" s="146"/>
      <c r="DK187" s="105"/>
      <c r="DL187" s="105"/>
      <c r="DM187" s="112"/>
      <c r="DN187" s="113"/>
      <c r="DO187" s="105"/>
      <c r="DP187" s="113"/>
      <c r="DQ187" s="113"/>
      <c r="DR187" s="105"/>
      <c r="DS187" s="113"/>
      <c r="DT187" s="113"/>
      <c r="DU187" s="112"/>
      <c r="DV187" s="113"/>
      <c r="DW187" s="105"/>
      <c r="DX187" s="146"/>
      <c r="DY187" s="105"/>
      <c r="DZ187" s="105"/>
      <c r="EA187" s="112"/>
      <c r="EB187" s="113"/>
      <c r="EC187" s="105"/>
      <c r="ED187" s="113"/>
      <c r="EE187" s="113"/>
      <c r="EF187" s="105"/>
      <c r="EG187" s="113"/>
      <c r="EH187" s="113"/>
      <c r="EI187" s="112"/>
      <c r="EJ187" s="113"/>
      <c r="EK187" s="105"/>
      <c r="EL187" s="146"/>
      <c r="EM187" s="72" t="s">
        <v>115</v>
      </c>
      <c r="EN187" s="74">
        <v>2250</v>
      </c>
      <c r="EO187" s="73"/>
      <c r="EP187" s="72" t="s">
        <v>77</v>
      </c>
      <c r="EQ187" s="72"/>
      <c r="ER187" s="75"/>
      <c r="ES187" s="76"/>
      <c r="ET187" s="77"/>
      <c r="EU187" s="77">
        <v>1</v>
      </c>
      <c r="EV187" s="78"/>
      <c r="EW187" s="72"/>
      <c r="EX187" s="72"/>
      <c r="EY187" s="72" t="s">
        <v>100</v>
      </c>
      <c r="EZ187" s="72" t="s">
        <v>114</v>
      </c>
      <c r="FA187" s="72"/>
      <c r="FB187" s="78"/>
      <c r="FC187" s="78"/>
      <c r="FD187" s="146"/>
      <c r="FE187" s="78"/>
      <c r="FF187" s="78"/>
      <c r="FG187" s="78"/>
      <c r="FH187" s="78"/>
      <c r="FI187" s="78"/>
      <c r="FJ187" s="78"/>
      <c r="FK187" s="78"/>
      <c r="FL187" s="78"/>
      <c r="FM187" s="78"/>
      <c r="FN187" s="78"/>
      <c r="FO187" s="146"/>
      <c r="FP187" s="78"/>
      <c r="FQ187" s="78"/>
      <c r="FR187" s="78"/>
      <c r="FS187" s="78"/>
      <c r="FT187" s="78"/>
      <c r="FU187" s="78"/>
      <c r="FV187" s="78"/>
      <c r="FW187" s="78"/>
      <c r="FX187" s="78"/>
      <c r="FY187" s="78"/>
    </row>
    <row r="188" spans="1:181" s="71" customFormat="1" ht="16.350000000000001" customHeight="1" x14ac:dyDescent="0.25">
      <c r="A188" s="109"/>
      <c r="B188" s="70"/>
      <c r="C188" s="110"/>
      <c r="D188" s="110"/>
      <c r="E188" s="146"/>
      <c r="F188" s="109" t="str">
        <f>mehrsprachigkeitBegriffsrückgabe(gewählteSpracheZurückgeben(), "Product (foreign language)")</f>
        <v>Produkt (Fremdsprache)</v>
      </c>
      <c r="G188" s="111"/>
      <c r="H188" s="111" t="s">
        <v>282</v>
      </c>
      <c r="I188" s="111" t="s">
        <v>94</v>
      </c>
      <c r="J188" s="111" t="s">
        <v>327</v>
      </c>
      <c r="K188" s="111"/>
      <c r="L188" s="146"/>
      <c r="M188" s="149"/>
      <c r="N188" s="111"/>
      <c r="O188" s="111"/>
      <c r="P188" s="111"/>
      <c r="Q188" s="111"/>
      <c r="R188" s="111"/>
      <c r="S188" s="111"/>
      <c r="T188" s="111"/>
      <c r="U188" s="111"/>
      <c r="V188" s="111"/>
      <c r="W188" s="111"/>
      <c r="X188" s="111"/>
      <c r="Y188" s="111"/>
      <c r="Z188" s="111"/>
      <c r="AA188" s="111"/>
      <c r="AB188" s="111"/>
      <c r="AC188" s="111"/>
      <c r="AD188" s="111"/>
      <c r="AE188" s="111"/>
      <c r="AF188" s="111"/>
      <c r="AG188" s="111"/>
      <c r="AH188" s="111"/>
      <c r="AI188" s="111"/>
      <c r="AJ188" s="111"/>
      <c r="AK188" s="111"/>
      <c r="AL188" s="111"/>
      <c r="AM188" s="111"/>
      <c r="AN188" s="111"/>
      <c r="AO188" s="111"/>
      <c r="AP188" s="111"/>
      <c r="AQ188" s="111"/>
      <c r="AR188" s="111"/>
      <c r="AS188" s="111"/>
      <c r="AT188" s="111"/>
      <c r="AU188" s="111"/>
      <c r="AV188" s="111"/>
      <c r="AW188" s="111"/>
      <c r="AX188" s="111"/>
      <c r="AY188" s="111"/>
      <c r="AZ188" s="111"/>
      <c r="BA188" s="146"/>
      <c r="BB188" s="104" t="s">
        <v>99</v>
      </c>
      <c r="BC188" s="72" t="s">
        <v>95</v>
      </c>
      <c r="BD188" s="72"/>
      <c r="BE188" s="72"/>
      <c r="BF188" s="146"/>
      <c r="BG188" s="112" t="s">
        <v>113</v>
      </c>
      <c r="BH188" s="113"/>
      <c r="BI188" s="146"/>
      <c r="BJ188" s="105"/>
      <c r="BK188" s="113"/>
      <c r="BL188" s="113"/>
      <c r="BM188" s="105"/>
      <c r="BN188" s="113"/>
      <c r="BO188" s="113"/>
      <c r="BP188" s="146"/>
      <c r="BQ188" s="112" t="s">
        <v>113</v>
      </c>
      <c r="BR188" s="113"/>
      <c r="BS188" s="105"/>
      <c r="BT188" s="146"/>
      <c r="BU188" s="105"/>
      <c r="BV188" s="105"/>
      <c r="BW188" s="112"/>
      <c r="BX188" s="113"/>
      <c r="BY188" s="105"/>
      <c r="BZ188" s="113"/>
      <c r="CA188" s="113"/>
      <c r="CB188" s="105"/>
      <c r="CC188" s="113"/>
      <c r="CD188" s="113"/>
      <c r="CE188" s="112"/>
      <c r="CF188" s="113"/>
      <c r="CG188" s="105"/>
      <c r="CH188" s="146"/>
      <c r="CI188" s="105"/>
      <c r="CJ188" s="105"/>
      <c r="CK188" s="112"/>
      <c r="CL188" s="113"/>
      <c r="CM188" s="105"/>
      <c r="CN188" s="113"/>
      <c r="CO188" s="113"/>
      <c r="CP188" s="105"/>
      <c r="CQ188" s="113"/>
      <c r="CR188" s="113"/>
      <c r="CS188" s="112"/>
      <c r="CT188" s="113"/>
      <c r="CU188" s="105"/>
      <c r="CV188" s="146"/>
      <c r="CW188" s="105"/>
      <c r="CX188" s="105"/>
      <c r="CY188" s="112"/>
      <c r="CZ188" s="113"/>
      <c r="DA188" s="105"/>
      <c r="DB188" s="113"/>
      <c r="DC188" s="113"/>
      <c r="DD188" s="105"/>
      <c r="DE188" s="113"/>
      <c r="DF188" s="113"/>
      <c r="DG188" s="112"/>
      <c r="DH188" s="113"/>
      <c r="DI188" s="105"/>
      <c r="DJ188" s="146"/>
      <c r="DK188" s="105"/>
      <c r="DL188" s="105"/>
      <c r="DM188" s="112"/>
      <c r="DN188" s="113"/>
      <c r="DO188" s="105"/>
      <c r="DP188" s="113"/>
      <c r="DQ188" s="113"/>
      <c r="DR188" s="105"/>
      <c r="DS188" s="113"/>
      <c r="DT188" s="113"/>
      <c r="DU188" s="112"/>
      <c r="DV188" s="113"/>
      <c r="DW188" s="105"/>
      <c r="DX188" s="146"/>
      <c r="DY188" s="105"/>
      <c r="DZ188" s="105"/>
      <c r="EA188" s="112"/>
      <c r="EB188" s="113"/>
      <c r="EC188" s="105"/>
      <c r="ED188" s="113"/>
      <c r="EE188" s="113"/>
      <c r="EF188" s="105"/>
      <c r="EG188" s="113"/>
      <c r="EH188" s="113"/>
      <c r="EI188" s="112"/>
      <c r="EJ188" s="113"/>
      <c r="EK188" s="105"/>
      <c r="EL188" s="146"/>
      <c r="EM188" s="72"/>
      <c r="EN188" s="74"/>
      <c r="EO188" s="73"/>
      <c r="EP188" s="72" t="s">
        <v>96</v>
      </c>
      <c r="EQ188" s="72"/>
      <c r="ER188" s="75"/>
      <c r="ES188" s="76"/>
      <c r="ET188" s="77"/>
      <c r="EU188" s="77"/>
      <c r="EV188" s="78"/>
      <c r="EW188" s="72"/>
      <c r="EX188" s="72"/>
      <c r="EY188" s="72"/>
      <c r="EZ188" s="72"/>
      <c r="FA188" s="72"/>
      <c r="FB188" s="78"/>
      <c r="FC188" s="78"/>
      <c r="FD188" s="146"/>
      <c r="FE188" s="78"/>
      <c r="FF188" s="78"/>
      <c r="FG188" s="78"/>
      <c r="FO188" s="146"/>
      <c r="FP188" s="78"/>
      <c r="FQ188" s="78"/>
      <c r="FR188" s="78"/>
    </row>
    <row r="189" spans="1:181" s="71" customFormat="1" ht="16.350000000000001" customHeight="1" x14ac:dyDescent="0.25">
      <c r="A189" s="109"/>
      <c r="B189" s="70"/>
      <c r="C189" s="110"/>
      <c r="D189" s="110">
        <v>1</v>
      </c>
      <c r="E189" s="146"/>
      <c r="F189" s="109" t="str">
        <f>mehrsprachigkeitBegriffsrückgabe(gewählteSpracheZurückgeben(), "Product")</f>
        <v>Produkt</v>
      </c>
      <c r="G189" s="111" t="s">
        <v>283</v>
      </c>
      <c r="H189" s="111"/>
      <c r="I189" s="111" t="s">
        <v>86</v>
      </c>
      <c r="J189" s="111" t="s">
        <v>376</v>
      </c>
      <c r="K189" s="111"/>
      <c r="L189" s="146"/>
      <c r="M189" s="149" t="s">
        <v>392</v>
      </c>
      <c r="N189" s="111" t="s">
        <v>395</v>
      </c>
      <c r="O189" s="114"/>
      <c r="P189" s="114"/>
      <c r="Q189" s="111"/>
      <c r="R189" s="111"/>
      <c r="S189" s="111"/>
      <c r="T189" s="111"/>
      <c r="U189" s="111"/>
      <c r="V189" s="111"/>
      <c r="W189" s="111"/>
      <c r="X189" s="111"/>
      <c r="Y189" s="111"/>
      <c r="Z189" s="111"/>
      <c r="AA189" s="111"/>
      <c r="AB189" s="111"/>
      <c r="AC189" s="111"/>
      <c r="AD189" s="111"/>
      <c r="AE189" s="111"/>
      <c r="AF189" s="111"/>
      <c r="AG189" s="111"/>
      <c r="AH189" s="111"/>
      <c r="AI189" s="111"/>
      <c r="AJ189" s="111"/>
      <c r="AK189" s="111"/>
      <c r="AL189" s="111"/>
      <c r="AM189" s="111"/>
      <c r="AN189" s="111"/>
      <c r="AO189" s="111"/>
      <c r="AP189" s="111"/>
      <c r="AQ189" s="111"/>
      <c r="AR189" s="111"/>
      <c r="AS189" s="111"/>
      <c r="AT189" s="111"/>
      <c r="AU189" s="111"/>
      <c r="AV189" s="111"/>
      <c r="AW189" s="111"/>
      <c r="AX189" s="111"/>
      <c r="AY189" s="111"/>
      <c r="AZ189" s="111"/>
      <c r="BA189" s="146"/>
      <c r="BB189" s="104" t="s">
        <v>98</v>
      </c>
      <c r="BC189" s="72" t="s">
        <v>93</v>
      </c>
      <c r="BD189" s="72" t="s">
        <v>508</v>
      </c>
      <c r="BE189" s="72" t="s">
        <v>416</v>
      </c>
      <c r="BF189" s="146"/>
      <c r="BG189" s="112">
        <v>69.900000000000006</v>
      </c>
      <c r="BH189" s="113"/>
      <c r="BI189" s="146"/>
      <c r="BJ189" s="105"/>
      <c r="BK189" s="113"/>
      <c r="BL189" s="113"/>
      <c r="BM189" s="105"/>
      <c r="BN189" s="113"/>
      <c r="BO189" s="152"/>
      <c r="BP189" s="146"/>
      <c r="BQ189" s="112" t="s">
        <v>113</v>
      </c>
      <c r="BR189" s="113"/>
      <c r="BS189" s="105"/>
      <c r="BT189" s="146"/>
      <c r="BU189" s="105"/>
      <c r="BV189" s="105"/>
      <c r="BW189" s="112"/>
      <c r="BX189" s="113"/>
      <c r="BY189" s="105"/>
      <c r="BZ189" s="113"/>
      <c r="CA189" s="113"/>
      <c r="CB189" s="105"/>
      <c r="CC189" s="113"/>
      <c r="CD189" s="152"/>
      <c r="CE189" s="112"/>
      <c r="CF189" s="113"/>
      <c r="CG189" s="105"/>
      <c r="CH189" s="146"/>
      <c r="CI189" s="105"/>
      <c r="CJ189" s="105"/>
      <c r="CK189" s="112"/>
      <c r="CL189" s="113"/>
      <c r="CM189" s="105"/>
      <c r="CN189" s="152"/>
      <c r="CO189" s="152"/>
      <c r="CP189" s="105"/>
      <c r="CQ189" s="113"/>
      <c r="CR189" s="152"/>
      <c r="CS189" s="112"/>
      <c r="CT189" s="113"/>
      <c r="CU189" s="105"/>
      <c r="CV189" s="146"/>
      <c r="CW189" s="105"/>
      <c r="CX189" s="105"/>
      <c r="CY189" s="112"/>
      <c r="CZ189" s="113"/>
      <c r="DA189" s="105"/>
      <c r="DB189" s="113"/>
      <c r="DC189" s="113"/>
      <c r="DD189" s="105"/>
      <c r="DE189" s="113"/>
      <c r="DF189" s="113"/>
      <c r="DG189" s="112"/>
      <c r="DH189" s="113"/>
      <c r="DI189" s="105"/>
      <c r="DJ189" s="146"/>
      <c r="DK189" s="105"/>
      <c r="DL189" s="105"/>
      <c r="DM189" s="112"/>
      <c r="DN189" s="113"/>
      <c r="DO189" s="105"/>
      <c r="DP189" s="113"/>
      <c r="DQ189" s="113"/>
      <c r="DR189" s="105"/>
      <c r="DS189" s="113"/>
      <c r="DT189" s="113"/>
      <c r="DU189" s="112"/>
      <c r="DV189" s="113"/>
      <c r="DW189" s="105"/>
      <c r="DX189" s="146"/>
      <c r="DY189" s="105"/>
      <c r="DZ189" s="105"/>
      <c r="EA189" s="112"/>
      <c r="EB189" s="113"/>
      <c r="EC189" s="105"/>
      <c r="ED189" s="113"/>
      <c r="EE189" s="113"/>
      <c r="EF189" s="105"/>
      <c r="EG189" s="113"/>
      <c r="EH189" s="113"/>
      <c r="EI189" s="112"/>
      <c r="EJ189" s="113"/>
      <c r="EK189" s="105"/>
      <c r="EL189" s="146"/>
      <c r="EM189" s="72" t="s">
        <v>115</v>
      </c>
      <c r="EN189" s="74">
        <v>2250</v>
      </c>
      <c r="EO189" s="73"/>
      <c r="EP189" s="72" t="s">
        <v>77</v>
      </c>
      <c r="EQ189" s="72"/>
      <c r="ER189" s="75"/>
      <c r="ES189" s="76"/>
      <c r="ET189" s="77"/>
      <c r="EU189" s="77"/>
      <c r="EV189" s="78"/>
      <c r="EW189" s="72"/>
      <c r="EX189" s="72"/>
      <c r="EY189" s="72" t="s">
        <v>100</v>
      </c>
      <c r="EZ189" s="72" t="s">
        <v>114</v>
      </c>
      <c r="FA189" s="72"/>
      <c r="FB189" s="78"/>
      <c r="FC189" s="78"/>
      <c r="FD189" s="146"/>
      <c r="FE189" s="78"/>
      <c r="FF189" s="78"/>
      <c r="FG189" s="78"/>
      <c r="FH189" s="78"/>
      <c r="FI189" s="78"/>
      <c r="FJ189" s="78"/>
      <c r="FK189" s="78"/>
      <c r="FL189" s="78"/>
      <c r="FM189" s="78"/>
      <c r="FN189" s="78"/>
      <c r="FO189" s="146"/>
      <c r="FP189" s="78"/>
      <c r="FQ189" s="78"/>
      <c r="FR189" s="78"/>
      <c r="FS189" s="78"/>
      <c r="FT189" s="78"/>
      <c r="FU189" s="78"/>
      <c r="FV189" s="78"/>
      <c r="FW189" s="78"/>
      <c r="FX189" s="78"/>
      <c r="FY189" s="78"/>
    </row>
    <row r="190" spans="1:181" s="71" customFormat="1" ht="16.350000000000001" customHeight="1" x14ac:dyDescent="0.25">
      <c r="A190" s="109"/>
      <c r="B190" s="70"/>
      <c r="C190" s="110"/>
      <c r="D190" s="110"/>
      <c r="E190" s="146"/>
      <c r="F190" s="109" t="str">
        <f>mehrsprachigkeitBegriffsrückgabe(gewählteSpracheZurückgeben(), "Product (foreign language)")</f>
        <v>Produkt (Fremdsprache)</v>
      </c>
      <c r="G190" s="111"/>
      <c r="H190" s="111" t="s">
        <v>283</v>
      </c>
      <c r="I190" s="111" t="s">
        <v>94</v>
      </c>
      <c r="J190" s="111" t="s">
        <v>328</v>
      </c>
      <c r="K190" s="111"/>
      <c r="L190" s="146"/>
      <c r="M190" s="149"/>
      <c r="N190" s="111"/>
      <c r="O190" s="111"/>
      <c r="P190" s="111"/>
      <c r="Q190" s="111"/>
      <c r="R190" s="111"/>
      <c r="S190" s="111"/>
      <c r="T190" s="111"/>
      <c r="U190" s="111"/>
      <c r="V190" s="111"/>
      <c r="W190" s="111"/>
      <c r="X190" s="111"/>
      <c r="Y190" s="111"/>
      <c r="Z190" s="111"/>
      <c r="AA190" s="111"/>
      <c r="AB190" s="111"/>
      <c r="AC190" s="111"/>
      <c r="AD190" s="111"/>
      <c r="AE190" s="111"/>
      <c r="AF190" s="111"/>
      <c r="AG190" s="111"/>
      <c r="AH190" s="111"/>
      <c r="AI190" s="111"/>
      <c r="AJ190" s="111"/>
      <c r="AK190" s="111"/>
      <c r="AL190" s="111"/>
      <c r="AM190" s="111"/>
      <c r="AN190" s="111"/>
      <c r="AO190" s="111"/>
      <c r="AP190" s="111"/>
      <c r="AQ190" s="111"/>
      <c r="AR190" s="111"/>
      <c r="AS190" s="111"/>
      <c r="AT190" s="111"/>
      <c r="AU190" s="111"/>
      <c r="AV190" s="111"/>
      <c r="AW190" s="111"/>
      <c r="AX190" s="111"/>
      <c r="AY190" s="111"/>
      <c r="AZ190" s="111"/>
      <c r="BA190" s="146"/>
      <c r="BB190" s="104" t="s">
        <v>99</v>
      </c>
      <c r="BC190" s="72" t="s">
        <v>95</v>
      </c>
      <c r="BD190" s="72"/>
      <c r="BE190" s="72"/>
      <c r="BF190" s="146"/>
      <c r="BG190" s="112" t="s">
        <v>113</v>
      </c>
      <c r="BH190" s="113"/>
      <c r="BI190" s="146"/>
      <c r="BJ190" s="105"/>
      <c r="BK190" s="113"/>
      <c r="BL190" s="113"/>
      <c r="BM190" s="105"/>
      <c r="BN190" s="113"/>
      <c r="BO190" s="113"/>
      <c r="BP190" s="146"/>
      <c r="BQ190" s="112" t="s">
        <v>113</v>
      </c>
      <c r="BR190" s="113"/>
      <c r="BS190" s="105"/>
      <c r="BT190" s="146"/>
      <c r="BU190" s="105"/>
      <c r="BV190" s="105"/>
      <c r="BW190" s="112"/>
      <c r="BX190" s="113"/>
      <c r="BY190" s="105"/>
      <c r="BZ190" s="113"/>
      <c r="CA190" s="113"/>
      <c r="CB190" s="105"/>
      <c r="CC190" s="113"/>
      <c r="CD190" s="113"/>
      <c r="CE190" s="112"/>
      <c r="CF190" s="113"/>
      <c r="CG190" s="105"/>
      <c r="CH190" s="146"/>
      <c r="CI190" s="105"/>
      <c r="CJ190" s="105"/>
      <c r="CK190" s="112"/>
      <c r="CL190" s="113"/>
      <c r="CM190" s="105"/>
      <c r="CN190" s="113"/>
      <c r="CO190" s="113"/>
      <c r="CP190" s="105"/>
      <c r="CQ190" s="113"/>
      <c r="CR190" s="113"/>
      <c r="CS190" s="112"/>
      <c r="CT190" s="113"/>
      <c r="CU190" s="105"/>
      <c r="CV190" s="146"/>
      <c r="CW190" s="105"/>
      <c r="CX190" s="105"/>
      <c r="CY190" s="112"/>
      <c r="CZ190" s="113"/>
      <c r="DA190" s="105"/>
      <c r="DB190" s="113"/>
      <c r="DC190" s="113"/>
      <c r="DD190" s="105"/>
      <c r="DE190" s="113"/>
      <c r="DF190" s="113"/>
      <c r="DG190" s="112"/>
      <c r="DH190" s="113"/>
      <c r="DI190" s="105"/>
      <c r="DJ190" s="146"/>
      <c r="DK190" s="105"/>
      <c r="DL190" s="105"/>
      <c r="DM190" s="112"/>
      <c r="DN190" s="113"/>
      <c r="DO190" s="105"/>
      <c r="DP190" s="113"/>
      <c r="DQ190" s="113"/>
      <c r="DR190" s="105"/>
      <c r="DS190" s="113"/>
      <c r="DT190" s="113"/>
      <c r="DU190" s="112"/>
      <c r="DV190" s="113"/>
      <c r="DW190" s="105"/>
      <c r="DX190" s="146"/>
      <c r="DY190" s="105"/>
      <c r="DZ190" s="105"/>
      <c r="EA190" s="112"/>
      <c r="EB190" s="113"/>
      <c r="EC190" s="105"/>
      <c r="ED190" s="113"/>
      <c r="EE190" s="113"/>
      <c r="EF190" s="105"/>
      <c r="EG190" s="113"/>
      <c r="EH190" s="113"/>
      <c r="EI190" s="112"/>
      <c r="EJ190" s="113"/>
      <c r="EK190" s="105"/>
      <c r="EL190" s="146"/>
      <c r="EM190" s="72"/>
      <c r="EN190" s="74"/>
      <c r="EO190" s="73"/>
      <c r="EP190" s="72" t="s">
        <v>96</v>
      </c>
      <c r="EQ190" s="72"/>
      <c r="ER190" s="75"/>
      <c r="ES190" s="76"/>
      <c r="ET190" s="77"/>
      <c r="EU190" s="77"/>
      <c r="EV190" s="78"/>
      <c r="EW190" s="72"/>
      <c r="EX190" s="72"/>
      <c r="EY190" s="72"/>
      <c r="EZ190" s="72"/>
      <c r="FA190" s="72"/>
      <c r="FB190" s="78"/>
      <c r="FC190" s="78"/>
      <c r="FD190" s="146"/>
      <c r="FE190" s="78"/>
      <c r="FF190" s="78"/>
      <c r="FG190" s="78"/>
      <c r="FO190" s="146"/>
      <c r="FP190" s="78"/>
      <c r="FQ190" s="78"/>
      <c r="FR190" s="78"/>
    </row>
    <row r="191" spans="1:181" s="71" customFormat="1" ht="16.350000000000001" customHeight="1" x14ac:dyDescent="0.25">
      <c r="A191" s="109"/>
      <c r="B191" s="70"/>
      <c r="C191" s="110"/>
      <c r="D191" s="110">
        <v>1</v>
      </c>
      <c r="E191" s="146"/>
      <c r="F191" s="109" t="str">
        <f>mehrsprachigkeitBegriffsrückgabe(gewählteSpracheZurückgeben(), "Product")</f>
        <v>Produkt</v>
      </c>
      <c r="G191" s="111" t="s">
        <v>284</v>
      </c>
      <c r="H191" s="111"/>
      <c r="I191" s="111" t="s">
        <v>86</v>
      </c>
      <c r="J191" s="111" t="s">
        <v>377</v>
      </c>
      <c r="K191" s="111"/>
      <c r="L191" s="146"/>
      <c r="M191" s="149" t="s">
        <v>392</v>
      </c>
      <c r="N191" s="111" t="s">
        <v>395</v>
      </c>
      <c r="O191" s="114"/>
      <c r="P191" s="114"/>
      <c r="Q191" s="111"/>
      <c r="R191" s="111"/>
      <c r="S191" s="111"/>
      <c r="T191" s="111"/>
      <c r="U191" s="111"/>
      <c r="V191" s="111"/>
      <c r="W191" s="111"/>
      <c r="X191" s="111"/>
      <c r="Y191" s="111"/>
      <c r="Z191" s="111"/>
      <c r="AA191" s="111"/>
      <c r="AB191" s="111"/>
      <c r="AC191" s="111"/>
      <c r="AD191" s="111"/>
      <c r="AE191" s="111"/>
      <c r="AF191" s="111"/>
      <c r="AG191" s="111"/>
      <c r="AH191" s="111"/>
      <c r="AI191" s="111"/>
      <c r="AJ191" s="111"/>
      <c r="AK191" s="111"/>
      <c r="AL191" s="111"/>
      <c r="AM191" s="111"/>
      <c r="AN191" s="111"/>
      <c r="AO191" s="111"/>
      <c r="AP191" s="111"/>
      <c r="AQ191" s="111"/>
      <c r="AR191" s="111"/>
      <c r="AS191" s="111"/>
      <c r="AT191" s="111"/>
      <c r="AU191" s="111"/>
      <c r="AV191" s="111"/>
      <c r="AW191" s="111"/>
      <c r="AX191" s="111"/>
      <c r="AY191" s="111"/>
      <c r="AZ191" s="111"/>
      <c r="BA191" s="146"/>
      <c r="BB191" s="104" t="s">
        <v>98</v>
      </c>
      <c r="BC191" s="72" t="s">
        <v>93</v>
      </c>
      <c r="BD191" s="72" t="s">
        <v>508</v>
      </c>
      <c r="BE191" s="72" t="s">
        <v>417</v>
      </c>
      <c r="BF191" s="146"/>
      <c r="BG191" s="112">
        <v>79.900000000000006</v>
      </c>
      <c r="BH191" s="113"/>
      <c r="BI191" s="146"/>
      <c r="BJ191" s="105"/>
      <c r="BK191" s="113"/>
      <c r="BL191" s="113"/>
      <c r="BM191" s="105"/>
      <c r="BN191" s="113"/>
      <c r="BO191" s="152"/>
      <c r="BP191" s="146"/>
      <c r="BQ191" s="112">
        <v>109.9</v>
      </c>
      <c r="BR191" s="113"/>
      <c r="BS191" s="105">
        <v>1</v>
      </c>
      <c r="BT191" s="146"/>
      <c r="BU191" s="105"/>
      <c r="BV191" s="105"/>
      <c r="BW191" s="112"/>
      <c r="BX191" s="113"/>
      <c r="BY191" s="105"/>
      <c r="BZ191" s="113"/>
      <c r="CA191" s="113"/>
      <c r="CB191" s="105"/>
      <c r="CC191" s="113"/>
      <c r="CD191" s="152"/>
      <c r="CE191" s="112"/>
      <c r="CF191" s="113"/>
      <c r="CG191" s="105"/>
      <c r="CH191" s="146"/>
      <c r="CI191" s="105"/>
      <c r="CJ191" s="105"/>
      <c r="CK191" s="112"/>
      <c r="CL191" s="113"/>
      <c r="CM191" s="105"/>
      <c r="CN191" s="152"/>
      <c r="CO191" s="152"/>
      <c r="CP191" s="105"/>
      <c r="CQ191" s="113"/>
      <c r="CR191" s="152"/>
      <c r="CS191" s="112"/>
      <c r="CT191" s="113"/>
      <c r="CU191" s="105"/>
      <c r="CV191" s="146"/>
      <c r="CW191" s="105"/>
      <c r="CX191" s="105"/>
      <c r="CY191" s="112"/>
      <c r="CZ191" s="113"/>
      <c r="DA191" s="105"/>
      <c r="DB191" s="113"/>
      <c r="DC191" s="113"/>
      <c r="DD191" s="105"/>
      <c r="DE191" s="113"/>
      <c r="DF191" s="113"/>
      <c r="DG191" s="112"/>
      <c r="DH191" s="113"/>
      <c r="DI191" s="105"/>
      <c r="DJ191" s="146"/>
      <c r="DK191" s="105"/>
      <c r="DL191" s="105"/>
      <c r="DM191" s="112"/>
      <c r="DN191" s="113"/>
      <c r="DO191" s="105"/>
      <c r="DP191" s="113"/>
      <c r="DQ191" s="113"/>
      <c r="DR191" s="105"/>
      <c r="DS191" s="113"/>
      <c r="DT191" s="113"/>
      <c r="DU191" s="112"/>
      <c r="DV191" s="113"/>
      <c r="DW191" s="105"/>
      <c r="DX191" s="146"/>
      <c r="DY191" s="105"/>
      <c r="DZ191" s="105"/>
      <c r="EA191" s="112"/>
      <c r="EB191" s="113"/>
      <c r="EC191" s="105"/>
      <c r="ED191" s="113"/>
      <c r="EE191" s="113"/>
      <c r="EF191" s="105"/>
      <c r="EG191" s="113"/>
      <c r="EH191" s="113"/>
      <c r="EI191" s="112"/>
      <c r="EJ191" s="113"/>
      <c r="EK191" s="105"/>
      <c r="EL191" s="146"/>
      <c r="EM191" s="72" t="s">
        <v>115</v>
      </c>
      <c r="EN191" s="74">
        <v>2250</v>
      </c>
      <c r="EO191" s="73"/>
      <c r="EP191" s="72" t="s">
        <v>77</v>
      </c>
      <c r="EQ191" s="72"/>
      <c r="ER191" s="75"/>
      <c r="ES191" s="76"/>
      <c r="ET191" s="77"/>
      <c r="EU191" s="77">
        <v>1</v>
      </c>
      <c r="EV191" s="78"/>
      <c r="EW191" s="72"/>
      <c r="EX191" s="72"/>
      <c r="EY191" s="72" t="s">
        <v>100</v>
      </c>
      <c r="EZ191" s="72" t="s">
        <v>114</v>
      </c>
      <c r="FA191" s="72"/>
      <c r="FB191" s="78"/>
      <c r="FC191" s="78"/>
      <c r="FD191" s="146"/>
      <c r="FE191" s="78"/>
      <c r="FF191" s="78"/>
      <c r="FG191" s="78"/>
      <c r="FH191" s="78"/>
      <c r="FI191" s="78"/>
      <c r="FJ191" s="78"/>
      <c r="FK191" s="78"/>
      <c r="FL191" s="78"/>
      <c r="FM191" s="78"/>
      <c r="FN191" s="78"/>
      <c r="FO191" s="146"/>
      <c r="FP191" s="78"/>
      <c r="FQ191" s="78"/>
      <c r="FR191" s="78"/>
      <c r="FS191" s="78"/>
      <c r="FT191" s="78"/>
      <c r="FU191" s="78"/>
      <c r="FV191" s="78"/>
      <c r="FW191" s="78"/>
      <c r="FX191" s="78"/>
      <c r="FY191" s="78"/>
    </row>
    <row r="192" spans="1:181" s="71" customFormat="1" ht="16.350000000000001" customHeight="1" x14ac:dyDescent="0.25">
      <c r="A192" s="109"/>
      <c r="B192" s="70"/>
      <c r="C192" s="110"/>
      <c r="D192" s="110"/>
      <c r="E192" s="146"/>
      <c r="F192" s="109" t="str">
        <f>mehrsprachigkeitBegriffsrückgabe(gewählteSpracheZurückgeben(), "Product (foreign language)")</f>
        <v>Produkt (Fremdsprache)</v>
      </c>
      <c r="G192" s="111"/>
      <c r="H192" s="111" t="s">
        <v>284</v>
      </c>
      <c r="I192" s="111" t="s">
        <v>94</v>
      </c>
      <c r="J192" s="111" t="s">
        <v>329</v>
      </c>
      <c r="K192" s="111"/>
      <c r="L192" s="146"/>
      <c r="M192" s="149"/>
      <c r="N192" s="111"/>
      <c r="O192" s="111"/>
      <c r="P192" s="111"/>
      <c r="Q192" s="111"/>
      <c r="R192" s="111"/>
      <c r="S192" s="111"/>
      <c r="T192" s="111"/>
      <c r="U192" s="111"/>
      <c r="V192" s="111"/>
      <c r="W192" s="111"/>
      <c r="X192" s="111"/>
      <c r="Y192" s="111"/>
      <c r="Z192" s="111"/>
      <c r="AA192" s="111"/>
      <c r="AB192" s="111"/>
      <c r="AC192" s="111"/>
      <c r="AD192" s="111"/>
      <c r="AE192" s="111"/>
      <c r="AF192" s="111"/>
      <c r="AG192" s="111"/>
      <c r="AH192" s="111"/>
      <c r="AI192" s="111"/>
      <c r="AJ192" s="111"/>
      <c r="AK192" s="111"/>
      <c r="AL192" s="111"/>
      <c r="AM192" s="111"/>
      <c r="AN192" s="111"/>
      <c r="AO192" s="111"/>
      <c r="AP192" s="111"/>
      <c r="AQ192" s="111"/>
      <c r="AR192" s="111"/>
      <c r="AS192" s="111"/>
      <c r="AT192" s="111"/>
      <c r="AU192" s="111"/>
      <c r="AV192" s="111"/>
      <c r="AW192" s="111"/>
      <c r="AX192" s="111"/>
      <c r="AY192" s="111"/>
      <c r="AZ192" s="111"/>
      <c r="BA192" s="146"/>
      <c r="BB192" s="104" t="s">
        <v>99</v>
      </c>
      <c r="BC192" s="72" t="s">
        <v>95</v>
      </c>
      <c r="BD192" s="72"/>
      <c r="BE192" s="72"/>
      <c r="BF192" s="146"/>
      <c r="BG192" s="112" t="s">
        <v>113</v>
      </c>
      <c r="BH192" s="113"/>
      <c r="BI192" s="146"/>
      <c r="BJ192" s="105"/>
      <c r="BK192" s="113"/>
      <c r="BL192" s="113"/>
      <c r="BM192" s="105"/>
      <c r="BN192" s="113"/>
      <c r="BO192" s="113"/>
      <c r="BP192" s="146"/>
      <c r="BQ192" s="112" t="s">
        <v>113</v>
      </c>
      <c r="BR192" s="113"/>
      <c r="BS192" s="105"/>
      <c r="BT192" s="146"/>
      <c r="BU192" s="105"/>
      <c r="BV192" s="105"/>
      <c r="BW192" s="112"/>
      <c r="BX192" s="113"/>
      <c r="BY192" s="105"/>
      <c r="BZ192" s="113"/>
      <c r="CA192" s="113"/>
      <c r="CB192" s="105"/>
      <c r="CC192" s="113"/>
      <c r="CD192" s="113"/>
      <c r="CE192" s="112"/>
      <c r="CF192" s="113"/>
      <c r="CG192" s="105"/>
      <c r="CH192" s="146"/>
      <c r="CI192" s="105"/>
      <c r="CJ192" s="105"/>
      <c r="CK192" s="112"/>
      <c r="CL192" s="113"/>
      <c r="CM192" s="105"/>
      <c r="CN192" s="113"/>
      <c r="CO192" s="113"/>
      <c r="CP192" s="105"/>
      <c r="CQ192" s="113"/>
      <c r="CR192" s="113"/>
      <c r="CS192" s="112"/>
      <c r="CT192" s="113"/>
      <c r="CU192" s="105"/>
      <c r="CV192" s="146"/>
      <c r="CW192" s="105"/>
      <c r="CX192" s="105"/>
      <c r="CY192" s="112"/>
      <c r="CZ192" s="113"/>
      <c r="DA192" s="105"/>
      <c r="DB192" s="113"/>
      <c r="DC192" s="113"/>
      <c r="DD192" s="105"/>
      <c r="DE192" s="113"/>
      <c r="DF192" s="113"/>
      <c r="DG192" s="112"/>
      <c r="DH192" s="113"/>
      <c r="DI192" s="105"/>
      <c r="DJ192" s="146"/>
      <c r="DK192" s="105"/>
      <c r="DL192" s="105"/>
      <c r="DM192" s="112"/>
      <c r="DN192" s="113"/>
      <c r="DO192" s="105"/>
      <c r="DP192" s="113"/>
      <c r="DQ192" s="113"/>
      <c r="DR192" s="105"/>
      <c r="DS192" s="113"/>
      <c r="DT192" s="113"/>
      <c r="DU192" s="112"/>
      <c r="DV192" s="113"/>
      <c r="DW192" s="105"/>
      <c r="DX192" s="146"/>
      <c r="DY192" s="105"/>
      <c r="DZ192" s="105"/>
      <c r="EA192" s="112"/>
      <c r="EB192" s="113"/>
      <c r="EC192" s="105"/>
      <c r="ED192" s="113"/>
      <c r="EE192" s="113"/>
      <c r="EF192" s="105"/>
      <c r="EG192" s="113"/>
      <c r="EH192" s="113"/>
      <c r="EI192" s="112"/>
      <c r="EJ192" s="113"/>
      <c r="EK192" s="105"/>
      <c r="EL192" s="146"/>
      <c r="EM192" s="72"/>
      <c r="EN192" s="74"/>
      <c r="EO192" s="73"/>
      <c r="EP192" s="72" t="s">
        <v>96</v>
      </c>
      <c r="EQ192" s="72"/>
      <c r="ER192" s="75"/>
      <c r="ES192" s="76"/>
      <c r="ET192" s="77"/>
      <c r="EU192" s="77"/>
      <c r="EV192" s="78"/>
      <c r="EW192" s="72"/>
      <c r="EX192" s="72"/>
      <c r="EY192" s="72"/>
      <c r="EZ192" s="72"/>
      <c r="FA192" s="72"/>
      <c r="FB192" s="78"/>
      <c r="FC192" s="78"/>
      <c r="FD192" s="146"/>
      <c r="FE192" s="78"/>
      <c r="FF192" s="78"/>
      <c r="FG192" s="78"/>
      <c r="FO192" s="146"/>
      <c r="FP192" s="78"/>
      <c r="FQ192" s="78"/>
      <c r="FR192" s="78"/>
    </row>
    <row r="193" spans="1:181" s="71" customFormat="1" ht="16.350000000000001" customHeight="1" x14ac:dyDescent="0.25">
      <c r="A193" s="109"/>
      <c r="B193" s="70"/>
      <c r="C193" s="110"/>
      <c r="D193" s="110">
        <v>1</v>
      </c>
      <c r="E193" s="146"/>
      <c r="F193" s="109" t="str">
        <f>mehrsprachigkeitBegriffsrückgabe(gewählteSpracheZurückgeben(), "Product")</f>
        <v>Produkt</v>
      </c>
      <c r="G193" s="111" t="s">
        <v>285</v>
      </c>
      <c r="H193" s="111"/>
      <c r="I193" s="111" t="s">
        <v>86</v>
      </c>
      <c r="J193" s="111" t="s">
        <v>378</v>
      </c>
      <c r="K193" s="111"/>
      <c r="L193" s="146"/>
      <c r="M193" s="149" t="s">
        <v>392</v>
      </c>
      <c r="N193" s="111" t="s">
        <v>401</v>
      </c>
      <c r="O193" s="114"/>
      <c r="P193" s="114"/>
      <c r="Q193" s="111"/>
      <c r="R193" s="111"/>
      <c r="S193" s="111"/>
      <c r="T193" s="111"/>
      <c r="U193" s="111"/>
      <c r="V193" s="111"/>
      <c r="W193" s="111"/>
      <c r="X193" s="111"/>
      <c r="Y193" s="111"/>
      <c r="Z193" s="111"/>
      <c r="AA193" s="111"/>
      <c r="AB193" s="111"/>
      <c r="AC193" s="111"/>
      <c r="AD193" s="111"/>
      <c r="AE193" s="111"/>
      <c r="AF193" s="111"/>
      <c r="AG193" s="111"/>
      <c r="AH193" s="111"/>
      <c r="AI193" s="111"/>
      <c r="AJ193" s="111"/>
      <c r="AK193" s="111"/>
      <c r="AL193" s="111"/>
      <c r="AM193" s="111"/>
      <c r="AN193" s="111"/>
      <c r="AO193" s="111"/>
      <c r="AP193" s="111"/>
      <c r="AQ193" s="111"/>
      <c r="AR193" s="111"/>
      <c r="AS193" s="111"/>
      <c r="AT193" s="111"/>
      <c r="AU193" s="111"/>
      <c r="AV193" s="111"/>
      <c r="AW193" s="111"/>
      <c r="AX193" s="111"/>
      <c r="AY193" s="111"/>
      <c r="AZ193" s="111"/>
      <c r="BA193" s="146"/>
      <c r="BB193" s="104" t="s">
        <v>98</v>
      </c>
      <c r="BC193" s="72" t="s">
        <v>93</v>
      </c>
      <c r="BD193" s="72" t="s">
        <v>508</v>
      </c>
      <c r="BE193" s="72" t="s">
        <v>412</v>
      </c>
      <c r="BF193" s="146"/>
      <c r="BG193" s="112">
        <v>49.9</v>
      </c>
      <c r="BH193" s="113"/>
      <c r="BI193" s="146"/>
      <c r="BJ193" s="105"/>
      <c r="BK193" s="113"/>
      <c r="BL193" s="113"/>
      <c r="BM193" s="105"/>
      <c r="BN193" s="113"/>
      <c r="BO193" s="152"/>
      <c r="BP193" s="146"/>
      <c r="BQ193" s="112" t="s">
        <v>113</v>
      </c>
      <c r="BR193" s="113"/>
      <c r="BS193" s="105"/>
      <c r="BT193" s="146"/>
      <c r="BU193" s="105"/>
      <c r="BV193" s="105"/>
      <c r="BW193" s="112"/>
      <c r="BX193" s="113"/>
      <c r="BY193" s="105"/>
      <c r="BZ193" s="113"/>
      <c r="CA193" s="113"/>
      <c r="CB193" s="105"/>
      <c r="CC193" s="113"/>
      <c r="CD193" s="152"/>
      <c r="CE193" s="112"/>
      <c r="CF193" s="113"/>
      <c r="CG193" s="105"/>
      <c r="CH193" s="146"/>
      <c r="CI193" s="105"/>
      <c r="CJ193" s="105"/>
      <c r="CK193" s="112"/>
      <c r="CL193" s="113"/>
      <c r="CM193" s="105"/>
      <c r="CN193" s="152"/>
      <c r="CO193" s="152"/>
      <c r="CP193" s="105"/>
      <c r="CQ193" s="113"/>
      <c r="CR193" s="152"/>
      <c r="CS193" s="112"/>
      <c r="CT193" s="113"/>
      <c r="CU193" s="105"/>
      <c r="CV193" s="146"/>
      <c r="CW193" s="105"/>
      <c r="CX193" s="105"/>
      <c r="CY193" s="112"/>
      <c r="CZ193" s="113"/>
      <c r="DA193" s="105"/>
      <c r="DB193" s="113"/>
      <c r="DC193" s="113"/>
      <c r="DD193" s="105"/>
      <c r="DE193" s="113"/>
      <c r="DF193" s="113"/>
      <c r="DG193" s="112"/>
      <c r="DH193" s="113"/>
      <c r="DI193" s="105"/>
      <c r="DJ193" s="146"/>
      <c r="DK193" s="105"/>
      <c r="DL193" s="105"/>
      <c r="DM193" s="112"/>
      <c r="DN193" s="113"/>
      <c r="DO193" s="105"/>
      <c r="DP193" s="113"/>
      <c r="DQ193" s="113"/>
      <c r="DR193" s="105"/>
      <c r="DS193" s="113"/>
      <c r="DT193" s="113"/>
      <c r="DU193" s="112"/>
      <c r="DV193" s="113"/>
      <c r="DW193" s="105"/>
      <c r="DX193" s="146"/>
      <c r="DY193" s="105"/>
      <c r="DZ193" s="105"/>
      <c r="EA193" s="112"/>
      <c r="EB193" s="113"/>
      <c r="EC193" s="105"/>
      <c r="ED193" s="113"/>
      <c r="EE193" s="113"/>
      <c r="EF193" s="105"/>
      <c r="EG193" s="113"/>
      <c r="EH193" s="113"/>
      <c r="EI193" s="112"/>
      <c r="EJ193" s="113"/>
      <c r="EK193" s="105"/>
      <c r="EL193" s="146"/>
      <c r="EM193" s="72" t="s">
        <v>115</v>
      </c>
      <c r="EN193" s="74">
        <v>2250</v>
      </c>
      <c r="EO193" s="73"/>
      <c r="EP193" s="72" t="s">
        <v>77</v>
      </c>
      <c r="EQ193" s="72"/>
      <c r="ER193" s="75"/>
      <c r="ES193" s="76"/>
      <c r="ET193" s="77"/>
      <c r="EU193" s="77"/>
      <c r="EV193" s="78"/>
      <c r="EW193" s="72"/>
      <c r="EX193" s="72"/>
      <c r="EY193" s="72" t="s">
        <v>100</v>
      </c>
      <c r="EZ193" s="72" t="s">
        <v>114</v>
      </c>
      <c r="FA193" s="72"/>
      <c r="FB193" s="78"/>
      <c r="FC193" s="78"/>
      <c r="FD193" s="146"/>
      <c r="FE193" s="78"/>
      <c r="FF193" s="78"/>
      <c r="FG193" s="78"/>
      <c r="FH193" s="78"/>
      <c r="FI193" s="78"/>
      <c r="FJ193" s="78"/>
      <c r="FK193" s="78"/>
      <c r="FL193" s="78"/>
      <c r="FM193" s="78"/>
      <c r="FN193" s="78"/>
      <c r="FO193" s="146"/>
      <c r="FP193" s="78"/>
      <c r="FQ193" s="78"/>
      <c r="FR193" s="78"/>
      <c r="FS193" s="78"/>
      <c r="FT193" s="78"/>
      <c r="FU193" s="78"/>
      <c r="FV193" s="78"/>
      <c r="FW193" s="78"/>
      <c r="FX193" s="78"/>
      <c r="FY193" s="78"/>
    </row>
    <row r="194" spans="1:181" s="71" customFormat="1" ht="16.350000000000001" customHeight="1" x14ac:dyDescent="0.25">
      <c r="A194" s="109"/>
      <c r="B194" s="70"/>
      <c r="C194" s="110"/>
      <c r="D194" s="110"/>
      <c r="E194" s="146"/>
      <c r="F194" s="109" t="str">
        <f>mehrsprachigkeitBegriffsrückgabe(gewählteSpracheZurückgeben(), "Product (foreign language)")</f>
        <v>Produkt (Fremdsprache)</v>
      </c>
      <c r="G194" s="111"/>
      <c r="H194" s="111" t="s">
        <v>285</v>
      </c>
      <c r="I194" s="111" t="s">
        <v>94</v>
      </c>
      <c r="J194" s="111" t="s">
        <v>330</v>
      </c>
      <c r="K194" s="111"/>
      <c r="L194" s="146"/>
      <c r="M194" s="149"/>
      <c r="N194" s="111"/>
      <c r="O194" s="111"/>
      <c r="P194" s="111"/>
      <c r="Q194" s="111"/>
      <c r="R194" s="111"/>
      <c r="S194" s="111"/>
      <c r="T194" s="111"/>
      <c r="U194" s="111"/>
      <c r="V194" s="111"/>
      <c r="W194" s="111"/>
      <c r="X194" s="111"/>
      <c r="Y194" s="111"/>
      <c r="Z194" s="111"/>
      <c r="AA194" s="111"/>
      <c r="AB194" s="111"/>
      <c r="AC194" s="111"/>
      <c r="AD194" s="111"/>
      <c r="AE194" s="111"/>
      <c r="AF194" s="111"/>
      <c r="AG194" s="111"/>
      <c r="AH194" s="111"/>
      <c r="AI194" s="111"/>
      <c r="AJ194" s="111"/>
      <c r="AK194" s="111"/>
      <c r="AL194" s="111"/>
      <c r="AM194" s="111"/>
      <c r="AN194" s="111"/>
      <c r="AO194" s="111"/>
      <c r="AP194" s="111"/>
      <c r="AQ194" s="111"/>
      <c r="AR194" s="111"/>
      <c r="AS194" s="111"/>
      <c r="AT194" s="111"/>
      <c r="AU194" s="111"/>
      <c r="AV194" s="111"/>
      <c r="AW194" s="111"/>
      <c r="AX194" s="111"/>
      <c r="AY194" s="111"/>
      <c r="AZ194" s="111"/>
      <c r="BA194" s="146"/>
      <c r="BB194" s="104" t="s">
        <v>99</v>
      </c>
      <c r="BC194" s="72" t="s">
        <v>95</v>
      </c>
      <c r="BD194" s="72"/>
      <c r="BE194" s="72"/>
      <c r="BF194" s="146"/>
      <c r="BG194" s="112" t="s">
        <v>113</v>
      </c>
      <c r="BH194" s="113"/>
      <c r="BI194" s="146"/>
      <c r="BJ194" s="105"/>
      <c r="BK194" s="113"/>
      <c r="BL194" s="113"/>
      <c r="BM194" s="105"/>
      <c r="BN194" s="113"/>
      <c r="BO194" s="113"/>
      <c r="BP194" s="146"/>
      <c r="BQ194" s="112" t="s">
        <v>113</v>
      </c>
      <c r="BR194" s="113"/>
      <c r="BS194" s="105"/>
      <c r="BT194" s="146"/>
      <c r="BU194" s="105"/>
      <c r="BV194" s="105"/>
      <c r="BW194" s="112"/>
      <c r="BX194" s="113"/>
      <c r="BY194" s="105"/>
      <c r="BZ194" s="113"/>
      <c r="CA194" s="113"/>
      <c r="CB194" s="105"/>
      <c r="CC194" s="113"/>
      <c r="CD194" s="113"/>
      <c r="CE194" s="112"/>
      <c r="CF194" s="113"/>
      <c r="CG194" s="105"/>
      <c r="CH194" s="146"/>
      <c r="CI194" s="105"/>
      <c r="CJ194" s="105"/>
      <c r="CK194" s="112"/>
      <c r="CL194" s="113"/>
      <c r="CM194" s="105"/>
      <c r="CN194" s="113"/>
      <c r="CO194" s="113"/>
      <c r="CP194" s="105"/>
      <c r="CQ194" s="113"/>
      <c r="CR194" s="113"/>
      <c r="CS194" s="112"/>
      <c r="CT194" s="113"/>
      <c r="CU194" s="105"/>
      <c r="CV194" s="146"/>
      <c r="CW194" s="105"/>
      <c r="CX194" s="105"/>
      <c r="CY194" s="112"/>
      <c r="CZ194" s="113"/>
      <c r="DA194" s="105"/>
      <c r="DB194" s="113"/>
      <c r="DC194" s="113"/>
      <c r="DD194" s="105"/>
      <c r="DE194" s="113"/>
      <c r="DF194" s="113"/>
      <c r="DG194" s="112"/>
      <c r="DH194" s="113"/>
      <c r="DI194" s="105"/>
      <c r="DJ194" s="146"/>
      <c r="DK194" s="105"/>
      <c r="DL194" s="105"/>
      <c r="DM194" s="112"/>
      <c r="DN194" s="113"/>
      <c r="DO194" s="105"/>
      <c r="DP194" s="113"/>
      <c r="DQ194" s="113"/>
      <c r="DR194" s="105"/>
      <c r="DS194" s="113"/>
      <c r="DT194" s="113"/>
      <c r="DU194" s="112"/>
      <c r="DV194" s="113"/>
      <c r="DW194" s="105"/>
      <c r="DX194" s="146"/>
      <c r="DY194" s="105"/>
      <c r="DZ194" s="105"/>
      <c r="EA194" s="112"/>
      <c r="EB194" s="113"/>
      <c r="EC194" s="105"/>
      <c r="ED194" s="113"/>
      <c r="EE194" s="113"/>
      <c r="EF194" s="105"/>
      <c r="EG194" s="113"/>
      <c r="EH194" s="113"/>
      <c r="EI194" s="112"/>
      <c r="EJ194" s="113"/>
      <c r="EK194" s="105"/>
      <c r="EL194" s="146"/>
      <c r="EM194" s="72"/>
      <c r="EN194" s="74"/>
      <c r="EO194" s="73"/>
      <c r="EP194" s="72" t="s">
        <v>96</v>
      </c>
      <c r="EQ194" s="72"/>
      <c r="ER194" s="75"/>
      <c r="ES194" s="76"/>
      <c r="ET194" s="77"/>
      <c r="EU194" s="77"/>
      <c r="EV194" s="78"/>
      <c r="EW194" s="72"/>
      <c r="EX194" s="72"/>
      <c r="EY194" s="72"/>
      <c r="EZ194" s="72"/>
      <c r="FA194" s="72"/>
      <c r="FB194" s="78"/>
      <c r="FC194" s="78"/>
      <c r="FD194" s="146"/>
      <c r="FE194" s="78"/>
      <c r="FF194" s="78"/>
      <c r="FG194" s="78"/>
      <c r="FO194" s="146"/>
      <c r="FP194" s="78"/>
      <c r="FQ194" s="78"/>
      <c r="FR194" s="78"/>
    </row>
    <row r="195" spans="1:181" s="71" customFormat="1" ht="16.350000000000001" customHeight="1" x14ac:dyDescent="0.25">
      <c r="A195" s="109"/>
      <c r="B195" s="70"/>
      <c r="C195" s="110"/>
      <c r="D195" s="110">
        <v>1</v>
      </c>
      <c r="E195" s="146"/>
      <c r="F195" s="109" t="str">
        <f>mehrsprachigkeitBegriffsrückgabe(gewählteSpracheZurückgeben(), "Product")</f>
        <v>Produkt</v>
      </c>
      <c r="G195" s="111" t="s">
        <v>286</v>
      </c>
      <c r="H195" s="111"/>
      <c r="I195" s="111" t="s">
        <v>86</v>
      </c>
      <c r="J195" s="111" t="s">
        <v>379</v>
      </c>
      <c r="K195" s="111"/>
      <c r="L195" s="146"/>
      <c r="M195" s="149" t="s">
        <v>392</v>
      </c>
      <c r="N195" s="111" t="s">
        <v>401</v>
      </c>
      <c r="O195" s="114" t="s">
        <v>392</v>
      </c>
      <c r="P195" s="114" t="s">
        <v>402</v>
      </c>
      <c r="Q195" s="111"/>
      <c r="R195" s="111"/>
      <c r="S195" s="111"/>
      <c r="T195" s="111"/>
      <c r="U195" s="111"/>
      <c r="V195" s="111"/>
      <c r="W195" s="111"/>
      <c r="X195" s="111"/>
      <c r="Y195" s="111"/>
      <c r="Z195" s="111"/>
      <c r="AA195" s="111"/>
      <c r="AB195" s="111"/>
      <c r="AC195" s="111"/>
      <c r="AD195" s="111"/>
      <c r="AE195" s="111"/>
      <c r="AF195" s="111"/>
      <c r="AG195" s="111"/>
      <c r="AH195" s="111"/>
      <c r="AI195" s="111"/>
      <c r="AJ195" s="111"/>
      <c r="AK195" s="111"/>
      <c r="AL195" s="111"/>
      <c r="AM195" s="111"/>
      <c r="AN195" s="111"/>
      <c r="AO195" s="111"/>
      <c r="AP195" s="111"/>
      <c r="AQ195" s="111"/>
      <c r="AR195" s="111"/>
      <c r="AS195" s="111"/>
      <c r="AT195" s="111"/>
      <c r="AU195" s="111"/>
      <c r="AV195" s="111"/>
      <c r="AW195" s="111"/>
      <c r="AX195" s="111"/>
      <c r="AY195" s="111"/>
      <c r="AZ195" s="111"/>
      <c r="BA195" s="146"/>
      <c r="BB195" s="104" t="s">
        <v>98</v>
      </c>
      <c r="BC195" s="72" t="s">
        <v>93</v>
      </c>
      <c r="BD195" s="72" t="s">
        <v>508</v>
      </c>
      <c r="BE195" s="72" t="s">
        <v>414</v>
      </c>
      <c r="BF195" s="146"/>
      <c r="BG195" s="112">
        <v>109.9</v>
      </c>
      <c r="BH195" s="113"/>
      <c r="BI195" s="146"/>
      <c r="BJ195" s="105"/>
      <c r="BK195" s="113"/>
      <c r="BL195" s="113"/>
      <c r="BM195" s="105"/>
      <c r="BN195" s="113"/>
      <c r="BO195" s="152"/>
      <c r="BP195" s="146"/>
      <c r="BQ195" s="112" t="s">
        <v>113</v>
      </c>
      <c r="BR195" s="113"/>
      <c r="BS195" s="105"/>
      <c r="BT195" s="146"/>
      <c r="BU195" s="105"/>
      <c r="BV195" s="105"/>
      <c r="BW195" s="112"/>
      <c r="BX195" s="113"/>
      <c r="BY195" s="105"/>
      <c r="BZ195" s="113"/>
      <c r="CA195" s="113"/>
      <c r="CB195" s="105"/>
      <c r="CC195" s="113"/>
      <c r="CD195" s="152"/>
      <c r="CE195" s="112"/>
      <c r="CF195" s="113"/>
      <c r="CG195" s="105"/>
      <c r="CH195" s="146"/>
      <c r="CI195" s="105"/>
      <c r="CJ195" s="105"/>
      <c r="CK195" s="112"/>
      <c r="CL195" s="113"/>
      <c r="CM195" s="105"/>
      <c r="CN195" s="152"/>
      <c r="CO195" s="152"/>
      <c r="CP195" s="105"/>
      <c r="CQ195" s="113"/>
      <c r="CR195" s="152"/>
      <c r="CS195" s="112"/>
      <c r="CT195" s="113"/>
      <c r="CU195" s="105"/>
      <c r="CV195" s="146"/>
      <c r="CW195" s="105"/>
      <c r="CX195" s="105"/>
      <c r="CY195" s="112"/>
      <c r="CZ195" s="113"/>
      <c r="DA195" s="105"/>
      <c r="DB195" s="113"/>
      <c r="DC195" s="113"/>
      <c r="DD195" s="105"/>
      <c r="DE195" s="113"/>
      <c r="DF195" s="113"/>
      <c r="DG195" s="112"/>
      <c r="DH195" s="113"/>
      <c r="DI195" s="105"/>
      <c r="DJ195" s="146"/>
      <c r="DK195" s="105"/>
      <c r="DL195" s="105"/>
      <c r="DM195" s="112"/>
      <c r="DN195" s="113"/>
      <c r="DO195" s="105"/>
      <c r="DP195" s="113"/>
      <c r="DQ195" s="113"/>
      <c r="DR195" s="105"/>
      <c r="DS195" s="113"/>
      <c r="DT195" s="113"/>
      <c r="DU195" s="112"/>
      <c r="DV195" s="113"/>
      <c r="DW195" s="105"/>
      <c r="DX195" s="146"/>
      <c r="DY195" s="105"/>
      <c r="DZ195" s="105"/>
      <c r="EA195" s="112"/>
      <c r="EB195" s="113"/>
      <c r="EC195" s="105"/>
      <c r="ED195" s="113"/>
      <c r="EE195" s="113"/>
      <c r="EF195" s="105"/>
      <c r="EG195" s="113"/>
      <c r="EH195" s="113"/>
      <c r="EI195" s="112"/>
      <c r="EJ195" s="113"/>
      <c r="EK195" s="105"/>
      <c r="EL195" s="146"/>
      <c r="EM195" s="72" t="s">
        <v>115</v>
      </c>
      <c r="EN195" s="74">
        <v>2250</v>
      </c>
      <c r="EO195" s="73"/>
      <c r="EP195" s="72" t="s">
        <v>77</v>
      </c>
      <c r="EQ195" s="72"/>
      <c r="ER195" s="75"/>
      <c r="ES195" s="76"/>
      <c r="ET195" s="77"/>
      <c r="EU195" s="77"/>
      <c r="EV195" s="78"/>
      <c r="EW195" s="72"/>
      <c r="EX195" s="72"/>
      <c r="EY195" s="72" t="s">
        <v>100</v>
      </c>
      <c r="EZ195" s="72" t="s">
        <v>114</v>
      </c>
      <c r="FA195" s="72"/>
      <c r="FB195" s="78"/>
      <c r="FC195" s="78"/>
      <c r="FD195" s="146"/>
      <c r="FE195" s="78"/>
      <c r="FF195" s="78"/>
      <c r="FG195" s="78"/>
      <c r="FH195" s="78"/>
      <c r="FI195" s="78"/>
      <c r="FJ195" s="78"/>
      <c r="FK195" s="78"/>
      <c r="FL195" s="78"/>
      <c r="FM195" s="78"/>
      <c r="FN195" s="78"/>
      <c r="FO195" s="146"/>
      <c r="FP195" s="78"/>
      <c r="FQ195" s="78"/>
      <c r="FR195" s="78"/>
      <c r="FS195" s="78"/>
      <c r="FT195" s="78"/>
      <c r="FU195" s="78"/>
      <c r="FV195" s="78"/>
      <c r="FW195" s="78"/>
      <c r="FX195" s="78"/>
      <c r="FY195" s="78"/>
    </row>
    <row r="196" spans="1:181" s="71" customFormat="1" ht="16.350000000000001" customHeight="1" x14ac:dyDescent="0.25">
      <c r="A196" s="109"/>
      <c r="B196" s="70"/>
      <c r="C196" s="110"/>
      <c r="D196" s="110"/>
      <c r="E196" s="146"/>
      <c r="F196" s="109" t="str">
        <f>mehrsprachigkeitBegriffsrückgabe(gewählteSpracheZurückgeben(), "Product (foreign language)")</f>
        <v>Produkt (Fremdsprache)</v>
      </c>
      <c r="G196" s="111"/>
      <c r="H196" s="111" t="s">
        <v>286</v>
      </c>
      <c r="I196" s="111" t="s">
        <v>94</v>
      </c>
      <c r="J196" s="111" t="s">
        <v>331</v>
      </c>
      <c r="K196" s="111"/>
      <c r="L196" s="146"/>
      <c r="M196" s="149"/>
      <c r="N196" s="111"/>
      <c r="O196" s="111"/>
      <c r="P196" s="111"/>
      <c r="Q196" s="111"/>
      <c r="R196" s="111"/>
      <c r="S196" s="111"/>
      <c r="T196" s="111"/>
      <c r="U196" s="111"/>
      <c r="V196" s="111"/>
      <c r="W196" s="111"/>
      <c r="X196" s="111"/>
      <c r="Y196" s="111"/>
      <c r="Z196" s="111"/>
      <c r="AA196" s="111"/>
      <c r="AB196" s="111"/>
      <c r="AC196" s="111"/>
      <c r="AD196" s="111"/>
      <c r="AE196" s="111"/>
      <c r="AF196" s="111"/>
      <c r="AG196" s="111"/>
      <c r="AH196" s="111"/>
      <c r="AI196" s="111"/>
      <c r="AJ196" s="111"/>
      <c r="AK196" s="111"/>
      <c r="AL196" s="111"/>
      <c r="AM196" s="111"/>
      <c r="AN196" s="111"/>
      <c r="AO196" s="111"/>
      <c r="AP196" s="111"/>
      <c r="AQ196" s="111"/>
      <c r="AR196" s="111"/>
      <c r="AS196" s="111"/>
      <c r="AT196" s="111"/>
      <c r="AU196" s="111"/>
      <c r="AV196" s="111"/>
      <c r="AW196" s="111"/>
      <c r="AX196" s="111"/>
      <c r="AY196" s="111"/>
      <c r="AZ196" s="111"/>
      <c r="BA196" s="146"/>
      <c r="BB196" s="104" t="s">
        <v>99</v>
      </c>
      <c r="BC196" s="72" t="s">
        <v>95</v>
      </c>
      <c r="BD196" s="72"/>
      <c r="BE196" s="72"/>
      <c r="BF196" s="146"/>
      <c r="BG196" s="112" t="s">
        <v>113</v>
      </c>
      <c r="BH196" s="113"/>
      <c r="BI196" s="146"/>
      <c r="BJ196" s="105"/>
      <c r="BK196" s="113"/>
      <c r="BL196" s="113"/>
      <c r="BM196" s="105"/>
      <c r="BN196" s="113"/>
      <c r="BO196" s="113"/>
      <c r="BP196" s="146"/>
      <c r="BQ196" s="112" t="s">
        <v>113</v>
      </c>
      <c r="BR196" s="113"/>
      <c r="BS196" s="105"/>
      <c r="BT196" s="146"/>
      <c r="BU196" s="105"/>
      <c r="BV196" s="105"/>
      <c r="BW196" s="112"/>
      <c r="BX196" s="113"/>
      <c r="BY196" s="105"/>
      <c r="BZ196" s="113"/>
      <c r="CA196" s="113"/>
      <c r="CB196" s="105"/>
      <c r="CC196" s="113"/>
      <c r="CD196" s="113"/>
      <c r="CE196" s="112"/>
      <c r="CF196" s="113"/>
      <c r="CG196" s="105"/>
      <c r="CH196" s="146"/>
      <c r="CI196" s="105"/>
      <c r="CJ196" s="105"/>
      <c r="CK196" s="112"/>
      <c r="CL196" s="113"/>
      <c r="CM196" s="105"/>
      <c r="CN196" s="113"/>
      <c r="CO196" s="113"/>
      <c r="CP196" s="105"/>
      <c r="CQ196" s="113"/>
      <c r="CR196" s="113"/>
      <c r="CS196" s="112"/>
      <c r="CT196" s="113"/>
      <c r="CU196" s="105"/>
      <c r="CV196" s="146"/>
      <c r="CW196" s="105"/>
      <c r="CX196" s="105"/>
      <c r="CY196" s="112"/>
      <c r="CZ196" s="113"/>
      <c r="DA196" s="105"/>
      <c r="DB196" s="113"/>
      <c r="DC196" s="113"/>
      <c r="DD196" s="105"/>
      <c r="DE196" s="113"/>
      <c r="DF196" s="113"/>
      <c r="DG196" s="112"/>
      <c r="DH196" s="113"/>
      <c r="DI196" s="105"/>
      <c r="DJ196" s="146"/>
      <c r="DK196" s="105"/>
      <c r="DL196" s="105"/>
      <c r="DM196" s="112"/>
      <c r="DN196" s="113"/>
      <c r="DO196" s="105"/>
      <c r="DP196" s="113"/>
      <c r="DQ196" s="113"/>
      <c r="DR196" s="105"/>
      <c r="DS196" s="113"/>
      <c r="DT196" s="113"/>
      <c r="DU196" s="112"/>
      <c r="DV196" s="113"/>
      <c r="DW196" s="105"/>
      <c r="DX196" s="146"/>
      <c r="DY196" s="105"/>
      <c r="DZ196" s="105"/>
      <c r="EA196" s="112"/>
      <c r="EB196" s="113"/>
      <c r="EC196" s="105"/>
      <c r="ED196" s="113"/>
      <c r="EE196" s="113"/>
      <c r="EF196" s="105"/>
      <c r="EG196" s="113"/>
      <c r="EH196" s="113"/>
      <c r="EI196" s="112"/>
      <c r="EJ196" s="113"/>
      <c r="EK196" s="105"/>
      <c r="EL196" s="146"/>
      <c r="EM196" s="72"/>
      <c r="EN196" s="74"/>
      <c r="EO196" s="73"/>
      <c r="EP196" s="72" t="s">
        <v>96</v>
      </c>
      <c r="EQ196" s="72"/>
      <c r="ER196" s="75"/>
      <c r="ES196" s="76"/>
      <c r="ET196" s="77"/>
      <c r="EU196" s="77"/>
      <c r="EV196" s="78"/>
      <c r="EW196" s="72"/>
      <c r="EX196" s="72"/>
      <c r="EY196" s="72"/>
      <c r="EZ196" s="72"/>
      <c r="FA196" s="72"/>
      <c r="FB196" s="78"/>
      <c r="FC196" s="78"/>
      <c r="FD196" s="146"/>
      <c r="FE196" s="78"/>
      <c r="FF196" s="78"/>
      <c r="FG196" s="78"/>
      <c r="FO196" s="146"/>
      <c r="FP196" s="78"/>
      <c r="FQ196" s="78"/>
      <c r="FR196" s="78"/>
    </row>
    <row r="197" spans="1:181" s="71" customFormat="1" ht="16.350000000000001" customHeight="1" x14ac:dyDescent="0.25">
      <c r="A197" s="109"/>
      <c r="B197" s="70"/>
      <c r="C197" s="110"/>
      <c r="D197" s="110">
        <v>1</v>
      </c>
      <c r="E197" s="146"/>
      <c r="F197" s="109" t="str">
        <f>mehrsprachigkeitBegriffsrückgabe(gewählteSpracheZurückgeben(), "Product")</f>
        <v>Produkt</v>
      </c>
      <c r="G197" s="111" t="s">
        <v>287</v>
      </c>
      <c r="H197" s="111"/>
      <c r="I197" s="111" t="s">
        <v>86</v>
      </c>
      <c r="J197" s="111" t="s">
        <v>380</v>
      </c>
      <c r="K197" s="111"/>
      <c r="L197" s="146"/>
      <c r="M197" s="149" t="s">
        <v>392</v>
      </c>
      <c r="N197" s="111" t="s">
        <v>396</v>
      </c>
      <c r="O197" s="114"/>
      <c r="P197" s="114"/>
      <c r="Q197" s="111"/>
      <c r="R197" s="111"/>
      <c r="S197" s="111"/>
      <c r="T197" s="111"/>
      <c r="U197" s="111"/>
      <c r="V197" s="111"/>
      <c r="W197" s="111"/>
      <c r="X197" s="111"/>
      <c r="Y197" s="111"/>
      <c r="Z197" s="111"/>
      <c r="AA197" s="111"/>
      <c r="AB197" s="111"/>
      <c r="AC197" s="111"/>
      <c r="AD197" s="111"/>
      <c r="AE197" s="111"/>
      <c r="AF197" s="111"/>
      <c r="AG197" s="111"/>
      <c r="AH197" s="111"/>
      <c r="AI197" s="111"/>
      <c r="AJ197" s="111"/>
      <c r="AK197" s="111"/>
      <c r="AL197" s="111"/>
      <c r="AM197" s="111"/>
      <c r="AN197" s="111"/>
      <c r="AO197" s="111"/>
      <c r="AP197" s="111"/>
      <c r="AQ197" s="111"/>
      <c r="AR197" s="111"/>
      <c r="AS197" s="111"/>
      <c r="AT197" s="111"/>
      <c r="AU197" s="111"/>
      <c r="AV197" s="111"/>
      <c r="AW197" s="111"/>
      <c r="AX197" s="111"/>
      <c r="AY197" s="111"/>
      <c r="AZ197" s="111"/>
      <c r="BA197" s="146"/>
      <c r="BB197" s="104" t="s">
        <v>98</v>
      </c>
      <c r="BC197" s="72" t="s">
        <v>93</v>
      </c>
      <c r="BD197" s="72" t="s">
        <v>508</v>
      </c>
      <c r="BE197" s="72" t="s">
        <v>413</v>
      </c>
      <c r="BF197" s="146"/>
      <c r="BG197" s="112">
        <v>99.9</v>
      </c>
      <c r="BH197" s="113"/>
      <c r="BI197" s="146"/>
      <c r="BJ197" s="105"/>
      <c r="BK197" s="113"/>
      <c r="BL197" s="113"/>
      <c r="BM197" s="105"/>
      <c r="BN197" s="113"/>
      <c r="BO197" s="152"/>
      <c r="BP197" s="146"/>
      <c r="BQ197" s="112" t="s">
        <v>113</v>
      </c>
      <c r="BR197" s="113"/>
      <c r="BS197" s="105"/>
      <c r="BT197" s="146"/>
      <c r="BU197" s="105"/>
      <c r="BV197" s="105"/>
      <c r="BW197" s="112"/>
      <c r="BX197" s="113"/>
      <c r="BY197" s="105"/>
      <c r="BZ197" s="113"/>
      <c r="CA197" s="113"/>
      <c r="CB197" s="105"/>
      <c r="CC197" s="113"/>
      <c r="CD197" s="152"/>
      <c r="CE197" s="112"/>
      <c r="CF197" s="113"/>
      <c r="CG197" s="105"/>
      <c r="CH197" s="146"/>
      <c r="CI197" s="105"/>
      <c r="CJ197" s="105"/>
      <c r="CK197" s="112"/>
      <c r="CL197" s="113"/>
      <c r="CM197" s="105"/>
      <c r="CN197" s="152"/>
      <c r="CO197" s="152"/>
      <c r="CP197" s="105"/>
      <c r="CQ197" s="113"/>
      <c r="CR197" s="152"/>
      <c r="CS197" s="112"/>
      <c r="CT197" s="113"/>
      <c r="CU197" s="105"/>
      <c r="CV197" s="146"/>
      <c r="CW197" s="105"/>
      <c r="CX197" s="105"/>
      <c r="CY197" s="112"/>
      <c r="CZ197" s="113"/>
      <c r="DA197" s="105"/>
      <c r="DB197" s="113"/>
      <c r="DC197" s="113"/>
      <c r="DD197" s="105"/>
      <c r="DE197" s="113"/>
      <c r="DF197" s="113"/>
      <c r="DG197" s="112"/>
      <c r="DH197" s="113"/>
      <c r="DI197" s="105"/>
      <c r="DJ197" s="146"/>
      <c r="DK197" s="105"/>
      <c r="DL197" s="105"/>
      <c r="DM197" s="112"/>
      <c r="DN197" s="113"/>
      <c r="DO197" s="105"/>
      <c r="DP197" s="113"/>
      <c r="DQ197" s="113"/>
      <c r="DR197" s="105"/>
      <c r="DS197" s="113"/>
      <c r="DT197" s="113"/>
      <c r="DU197" s="112"/>
      <c r="DV197" s="113"/>
      <c r="DW197" s="105"/>
      <c r="DX197" s="146"/>
      <c r="DY197" s="105"/>
      <c r="DZ197" s="105"/>
      <c r="EA197" s="112"/>
      <c r="EB197" s="113"/>
      <c r="EC197" s="105"/>
      <c r="ED197" s="113"/>
      <c r="EE197" s="113"/>
      <c r="EF197" s="105"/>
      <c r="EG197" s="113"/>
      <c r="EH197" s="113"/>
      <c r="EI197" s="112"/>
      <c r="EJ197" s="113"/>
      <c r="EK197" s="105"/>
      <c r="EL197" s="146"/>
      <c r="EM197" s="72" t="s">
        <v>115</v>
      </c>
      <c r="EN197" s="74">
        <v>2250</v>
      </c>
      <c r="EO197" s="73"/>
      <c r="EP197" s="72" t="s">
        <v>77</v>
      </c>
      <c r="EQ197" s="72"/>
      <c r="ER197" s="75"/>
      <c r="ES197" s="76"/>
      <c r="ET197" s="77"/>
      <c r="EU197" s="77"/>
      <c r="EV197" s="78"/>
      <c r="EW197" s="72"/>
      <c r="EX197" s="72"/>
      <c r="EY197" s="72" t="s">
        <v>100</v>
      </c>
      <c r="EZ197" s="72" t="s">
        <v>114</v>
      </c>
      <c r="FA197" s="72"/>
      <c r="FB197" s="78"/>
      <c r="FC197" s="78"/>
      <c r="FD197" s="146"/>
      <c r="FE197" s="78"/>
      <c r="FF197" s="78"/>
      <c r="FG197" s="78"/>
      <c r="FH197" s="78"/>
      <c r="FI197" s="78"/>
      <c r="FJ197" s="78"/>
      <c r="FK197" s="78"/>
      <c r="FL197" s="78"/>
      <c r="FM197" s="78"/>
      <c r="FN197" s="78"/>
      <c r="FO197" s="146"/>
      <c r="FP197" s="78"/>
      <c r="FQ197" s="78"/>
      <c r="FR197" s="78"/>
      <c r="FS197" s="78"/>
      <c r="FT197" s="78"/>
      <c r="FU197" s="78"/>
      <c r="FV197" s="78"/>
      <c r="FW197" s="78"/>
      <c r="FX197" s="78"/>
      <c r="FY197" s="78"/>
    </row>
    <row r="198" spans="1:181" s="71" customFormat="1" ht="16.350000000000001" customHeight="1" x14ac:dyDescent="0.25">
      <c r="A198" s="109"/>
      <c r="B198" s="70"/>
      <c r="C198" s="110"/>
      <c r="D198" s="110"/>
      <c r="E198" s="146"/>
      <c r="F198" s="109" t="str">
        <f>mehrsprachigkeitBegriffsrückgabe(gewählteSpracheZurückgeben(), "Product (foreign language)")</f>
        <v>Produkt (Fremdsprache)</v>
      </c>
      <c r="G198" s="111"/>
      <c r="H198" s="111" t="s">
        <v>287</v>
      </c>
      <c r="I198" s="111" t="s">
        <v>94</v>
      </c>
      <c r="J198" s="111" t="s">
        <v>332</v>
      </c>
      <c r="K198" s="111"/>
      <c r="L198" s="146"/>
      <c r="M198" s="149"/>
      <c r="N198" s="111"/>
      <c r="O198" s="111"/>
      <c r="P198" s="111"/>
      <c r="Q198" s="111"/>
      <c r="R198" s="111"/>
      <c r="S198" s="111"/>
      <c r="T198" s="111"/>
      <c r="U198" s="111"/>
      <c r="V198" s="111"/>
      <c r="W198" s="111"/>
      <c r="X198" s="111"/>
      <c r="Y198" s="111"/>
      <c r="Z198" s="111"/>
      <c r="AA198" s="111"/>
      <c r="AB198" s="111"/>
      <c r="AC198" s="111"/>
      <c r="AD198" s="111"/>
      <c r="AE198" s="111"/>
      <c r="AF198" s="111"/>
      <c r="AG198" s="111"/>
      <c r="AH198" s="111"/>
      <c r="AI198" s="111"/>
      <c r="AJ198" s="111"/>
      <c r="AK198" s="111"/>
      <c r="AL198" s="111"/>
      <c r="AM198" s="111"/>
      <c r="AN198" s="111"/>
      <c r="AO198" s="111"/>
      <c r="AP198" s="111"/>
      <c r="AQ198" s="111"/>
      <c r="AR198" s="111"/>
      <c r="AS198" s="111"/>
      <c r="AT198" s="111"/>
      <c r="AU198" s="111"/>
      <c r="AV198" s="111"/>
      <c r="AW198" s="111"/>
      <c r="AX198" s="111"/>
      <c r="AY198" s="111"/>
      <c r="AZ198" s="111"/>
      <c r="BA198" s="146"/>
      <c r="BB198" s="104" t="s">
        <v>99</v>
      </c>
      <c r="BC198" s="72" t="s">
        <v>95</v>
      </c>
      <c r="BD198" s="72"/>
      <c r="BE198" s="72"/>
      <c r="BF198" s="146"/>
      <c r="BG198" s="112" t="s">
        <v>113</v>
      </c>
      <c r="BH198" s="113"/>
      <c r="BI198" s="146"/>
      <c r="BJ198" s="105"/>
      <c r="BK198" s="113"/>
      <c r="BL198" s="113"/>
      <c r="BM198" s="105"/>
      <c r="BN198" s="113"/>
      <c r="BO198" s="113"/>
      <c r="BP198" s="146"/>
      <c r="BQ198" s="112" t="s">
        <v>113</v>
      </c>
      <c r="BR198" s="113"/>
      <c r="BS198" s="105"/>
      <c r="BT198" s="146"/>
      <c r="BU198" s="105"/>
      <c r="BV198" s="105"/>
      <c r="BW198" s="112"/>
      <c r="BX198" s="113"/>
      <c r="BY198" s="105"/>
      <c r="BZ198" s="113"/>
      <c r="CA198" s="113"/>
      <c r="CB198" s="105"/>
      <c r="CC198" s="113"/>
      <c r="CD198" s="113"/>
      <c r="CE198" s="112"/>
      <c r="CF198" s="113"/>
      <c r="CG198" s="105"/>
      <c r="CH198" s="146"/>
      <c r="CI198" s="105"/>
      <c r="CJ198" s="105"/>
      <c r="CK198" s="112"/>
      <c r="CL198" s="113"/>
      <c r="CM198" s="105"/>
      <c r="CN198" s="113"/>
      <c r="CO198" s="113"/>
      <c r="CP198" s="105"/>
      <c r="CQ198" s="113"/>
      <c r="CR198" s="113"/>
      <c r="CS198" s="112"/>
      <c r="CT198" s="113"/>
      <c r="CU198" s="105"/>
      <c r="CV198" s="146"/>
      <c r="CW198" s="105"/>
      <c r="CX198" s="105"/>
      <c r="CY198" s="112"/>
      <c r="CZ198" s="113"/>
      <c r="DA198" s="105"/>
      <c r="DB198" s="113"/>
      <c r="DC198" s="113"/>
      <c r="DD198" s="105"/>
      <c r="DE198" s="113"/>
      <c r="DF198" s="113"/>
      <c r="DG198" s="112"/>
      <c r="DH198" s="113"/>
      <c r="DI198" s="105"/>
      <c r="DJ198" s="146"/>
      <c r="DK198" s="105"/>
      <c r="DL198" s="105"/>
      <c r="DM198" s="112"/>
      <c r="DN198" s="113"/>
      <c r="DO198" s="105"/>
      <c r="DP198" s="113"/>
      <c r="DQ198" s="113"/>
      <c r="DR198" s="105"/>
      <c r="DS198" s="113"/>
      <c r="DT198" s="113"/>
      <c r="DU198" s="112"/>
      <c r="DV198" s="113"/>
      <c r="DW198" s="105"/>
      <c r="DX198" s="146"/>
      <c r="DY198" s="105"/>
      <c r="DZ198" s="105"/>
      <c r="EA198" s="112"/>
      <c r="EB198" s="113"/>
      <c r="EC198" s="105"/>
      <c r="ED198" s="113"/>
      <c r="EE198" s="113"/>
      <c r="EF198" s="105"/>
      <c r="EG198" s="113"/>
      <c r="EH198" s="113"/>
      <c r="EI198" s="112"/>
      <c r="EJ198" s="113"/>
      <c r="EK198" s="105"/>
      <c r="EL198" s="146"/>
      <c r="EM198" s="72"/>
      <c r="EN198" s="74"/>
      <c r="EO198" s="73"/>
      <c r="EP198" s="72" t="s">
        <v>96</v>
      </c>
      <c r="EQ198" s="72"/>
      <c r="ER198" s="75"/>
      <c r="ES198" s="76"/>
      <c r="ET198" s="77"/>
      <c r="EU198" s="77"/>
      <c r="EV198" s="78"/>
      <c r="EW198" s="72"/>
      <c r="EX198" s="72"/>
      <c r="EY198" s="72"/>
      <c r="EZ198" s="72"/>
      <c r="FA198" s="72"/>
      <c r="FB198" s="78"/>
      <c r="FC198" s="78"/>
      <c r="FD198" s="146"/>
      <c r="FE198" s="78"/>
      <c r="FF198" s="78"/>
      <c r="FG198" s="78"/>
      <c r="FO198" s="146"/>
      <c r="FP198" s="78"/>
      <c r="FQ198" s="78"/>
      <c r="FR198" s="78"/>
    </row>
    <row r="199" spans="1:181" s="71" customFormat="1" ht="16.350000000000001" customHeight="1" x14ac:dyDescent="0.25">
      <c r="A199" s="109"/>
      <c r="B199" s="70"/>
      <c r="C199" s="110"/>
      <c r="D199" s="110">
        <v>1</v>
      </c>
      <c r="E199" s="146"/>
      <c r="F199" s="109" t="str">
        <f>mehrsprachigkeitBegriffsrückgabe(gewählteSpracheZurückgeben(), "Product")</f>
        <v>Produkt</v>
      </c>
      <c r="G199" s="111" t="s">
        <v>288</v>
      </c>
      <c r="H199" s="111"/>
      <c r="I199" s="111" t="s">
        <v>86</v>
      </c>
      <c r="J199" s="111" t="s">
        <v>381</v>
      </c>
      <c r="K199" s="111"/>
      <c r="L199" s="146"/>
      <c r="M199" s="149" t="s">
        <v>392</v>
      </c>
      <c r="N199" s="111" t="s">
        <v>396</v>
      </c>
      <c r="O199" s="114"/>
      <c r="P199" s="114"/>
      <c r="Q199" s="111"/>
      <c r="R199" s="111"/>
      <c r="S199" s="111"/>
      <c r="T199" s="111"/>
      <c r="U199" s="111"/>
      <c r="V199" s="111"/>
      <c r="W199" s="111"/>
      <c r="X199" s="111"/>
      <c r="Y199" s="111"/>
      <c r="Z199" s="111"/>
      <c r="AA199" s="111"/>
      <c r="AB199" s="111"/>
      <c r="AC199" s="111"/>
      <c r="AD199" s="111"/>
      <c r="AE199" s="111"/>
      <c r="AF199" s="111"/>
      <c r="AG199" s="111"/>
      <c r="AH199" s="111"/>
      <c r="AI199" s="111"/>
      <c r="AJ199" s="111"/>
      <c r="AK199" s="111"/>
      <c r="AL199" s="111"/>
      <c r="AM199" s="111"/>
      <c r="AN199" s="111"/>
      <c r="AO199" s="111"/>
      <c r="AP199" s="111"/>
      <c r="AQ199" s="111"/>
      <c r="AR199" s="111"/>
      <c r="AS199" s="111"/>
      <c r="AT199" s="111"/>
      <c r="AU199" s="111"/>
      <c r="AV199" s="111"/>
      <c r="AW199" s="111"/>
      <c r="AX199" s="111"/>
      <c r="AY199" s="111"/>
      <c r="AZ199" s="111"/>
      <c r="BA199" s="146"/>
      <c r="BB199" s="104" t="s">
        <v>98</v>
      </c>
      <c r="BC199" s="72" t="s">
        <v>93</v>
      </c>
      <c r="BD199" s="72" t="s">
        <v>508</v>
      </c>
      <c r="BE199" s="72" t="s">
        <v>415</v>
      </c>
      <c r="BF199" s="146"/>
      <c r="BG199" s="112">
        <v>89.9</v>
      </c>
      <c r="BH199" s="113"/>
      <c r="BI199" s="146"/>
      <c r="BJ199" s="105"/>
      <c r="BK199" s="113"/>
      <c r="BL199" s="113"/>
      <c r="BM199" s="105"/>
      <c r="BN199" s="113"/>
      <c r="BO199" s="152"/>
      <c r="BP199" s="146"/>
      <c r="BQ199" s="112">
        <v>109.9</v>
      </c>
      <c r="BR199" s="113"/>
      <c r="BS199" s="105">
        <v>1</v>
      </c>
      <c r="BT199" s="146"/>
      <c r="BU199" s="105"/>
      <c r="BV199" s="105"/>
      <c r="BW199" s="112"/>
      <c r="BX199" s="113"/>
      <c r="BY199" s="105"/>
      <c r="BZ199" s="113"/>
      <c r="CA199" s="113"/>
      <c r="CB199" s="105"/>
      <c r="CC199" s="113"/>
      <c r="CD199" s="152"/>
      <c r="CE199" s="112"/>
      <c r="CF199" s="113"/>
      <c r="CG199" s="105"/>
      <c r="CH199" s="146"/>
      <c r="CI199" s="105"/>
      <c r="CJ199" s="105"/>
      <c r="CK199" s="112"/>
      <c r="CL199" s="113"/>
      <c r="CM199" s="105"/>
      <c r="CN199" s="152"/>
      <c r="CO199" s="152"/>
      <c r="CP199" s="105"/>
      <c r="CQ199" s="113"/>
      <c r="CR199" s="152"/>
      <c r="CS199" s="112"/>
      <c r="CT199" s="113"/>
      <c r="CU199" s="105"/>
      <c r="CV199" s="146"/>
      <c r="CW199" s="105"/>
      <c r="CX199" s="105"/>
      <c r="CY199" s="112"/>
      <c r="CZ199" s="113"/>
      <c r="DA199" s="105"/>
      <c r="DB199" s="113"/>
      <c r="DC199" s="113"/>
      <c r="DD199" s="105"/>
      <c r="DE199" s="113"/>
      <c r="DF199" s="113"/>
      <c r="DG199" s="112"/>
      <c r="DH199" s="113"/>
      <c r="DI199" s="105"/>
      <c r="DJ199" s="146"/>
      <c r="DK199" s="105"/>
      <c r="DL199" s="105"/>
      <c r="DM199" s="112"/>
      <c r="DN199" s="113"/>
      <c r="DO199" s="105"/>
      <c r="DP199" s="113"/>
      <c r="DQ199" s="113"/>
      <c r="DR199" s="105"/>
      <c r="DS199" s="113"/>
      <c r="DT199" s="113"/>
      <c r="DU199" s="112"/>
      <c r="DV199" s="113"/>
      <c r="DW199" s="105"/>
      <c r="DX199" s="146"/>
      <c r="DY199" s="105"/>
      <c r="DZ199" s="105"/>
      <c r="EA199" s="112"/>
      <c r="EB199" s="113"/>
      <c r="EC199" s="105"/>
      <c r="ED199" s="113"/>
      <c r="EE199" s="113"/>
      <c r="EF199" s="105"/>
      <c r="EG199" s="113"/>
      <c r="EH199" s="113"/>
      <c r="EI199" s="112"/>
      <c r="EJ199" s="113"/>
      <c r="EK199" s="105"/>
      <c r="EL199" s="146"/>
      <c r="EM199" s="72" t="s">
        <v>115</v>
      </c>
      <c r="EN199" s="74">
        <v>2250</v>
      </c>
      <c r="EO199" s="73"/>
      <c r="EP199" s="72" t="s">
        <v>77</v>
      </c>
      <c r="EQ199" s="72"/>
      <c r="ER199" s="75"/>
      <c r="ES199" s="76"/>
      <c r="ET199" s="77"/>
      <c r="EU199" s="77">
        <v>1</v>
      </c>
      <c r="EV199" s="78"/>
      <c r="EW199" s="72"/>
      <c r="EX199" s="72"/>
      <c r="EY199" s="72" t="s">
        <v>100</v>
      </c>
      <c r="EZ199" s="72" t="s">
        <v>114</v>
      </c>
      <c r="FA199" s="72"/>
      <c r="FB199" s="78"/>
      <c r="FC199" s="78"/>
      <c r="FD199" s="146"/>
      <c r="FE199" s="78"/>
      <c r="FF199" s="78"/>
      <c r="FG199" s="78"/>
      <c r="FH199" s="78"/>
      <c r="FI199" s="78"/>
      <c r="FJ199" s="78"/>
      <c r="FK199" s="78"/>
      <c r="FL199" s="78"/>
      <c r="FM199" s="78"/>
      <c r="FN199" s="78"/>
      <c r="FO199" s="146"/>
      <c r="FP199" s="78"/>
      <c r="FQ199" s="78"/>
      <c r="FR199" s="78"/>
      <c r="FS199" s="78"/>
      <c r="FT199" s="78"/>
      <c r="FU199" s="78"/>
      <c r="FV199" s="78"/>
      <c r="FW199" s="78"/>
      <c r="FX199" s="78"/>
      <c r="FY199" s="78"/>
    </row>
    <row r="200" spans="1:181" s="71" customFormat="1" ht="16.350000000000001" customHeight="1" x14ac:dyDescent="0.25">
      <c r="A200" s="109"/>
      <c r="B200" s="70"/>
      <c r="C200" s="110"/>
      <c r="D200" s="110"/>
      <c r="E200" s="146"/>
      <c r="F200" s="109" t="str">
        <f>mehrsprachigkeitBegriffsrückgabe(gewählteSpracheZurückgeben(), "Product (foreign language)")</f>
        <v>Produkt (Fremdsprache)</v>
      </c>
      <c r="G200" s="111"/>
      <c r="H200" s="111" t="s">
        <v>288</v>
      </c>
      <c r="I200" s="111" t="s">
        <v>94</v>
      </c>
      <c r="J200" s="111" t="s">
        <v>333</v>
      </c>
      <c r="K200" s="111"/>
      <c r="L200" s="146"/>
      <c r="M200" s="149"/>
      <c r="N200" s="111"/>
      <c r="O200" s="111"/>
      <c r="P200" s="111"/>
      <c r="Q200" s="111"/>
      <c r="R200" s="111"/>
      <c r="S200" s="111"/>
      <c r="T200" s="111"/>
      <c r="U200" s="111"/>
      <c r="V200" s="111"/>
      <c r="W200" s="111"/>
      <c r="X200" s="111"/>
      <c r="Y200" s="111"/>
      <c r="Z200" s="111"/>
      <c r="AA200" s="111"/>
      <c r="AB200" s="111"/>
      <c r="AC200" s="111"/>
      <c r="AD200" s="111"/>
      <c r="AE200" s="111"/>
      <c r="AF200" s="111"/>
      <c r="AG200" s="111"/>
      <c r="AH200" s="111"/>
      <c r="AI200" s="111"/>
      <c r="AJ200" s="111"/>
      <c r="AK200" s="111"/>
      <c r="AL200" s="111"/>
      <c r="AM200" s="111"/>
      <c r="AN200" s="111"/>
      <c r="AO200" s="111"/>
      <c r="AP200" s="111"/>
      <c r="AQ200" s="111"/>
      <c r="AR200" s="111"/>
      <c r="AS200" s="111"/>
      <c r="AT200" s="111"/>
      <c r="AU200" s="111"/>
      <c r="AV200" s="111"/>
      <c r="AW200" s="111"/>
      <c r="AX200" s="111"/>
      <c r="AY200" s="111"/>
      <c r="AZ200" s="111"/>
      <c r="BA200" s="146"/>
      <c r="BB200" s="104" t="s">
        <v>99</v>
      </c>
      <c r="BC200" s="72" t="s">
        <v>95</v>
      </c>
      <c r="BD200" s="72"/>
      <c r="BE200" s="72"/>
      <c r="BF200" s="146"/>
      <c r="BG200" s="112" t="s">
        <v>113</v>
      </c>
      <c r="BH200" s="113"/>
      <c r="BI200" s="146"/>
      <c r="BJ200" s="105"/>
      <c r="BK200" s="113"/>
      <c r="BL200" s="113"/>
      <c r="BM200" s="105"/>
      <c r="BN200" s="113"/>
      <c r="BO200" s="113"/>
      <c r="BP200" s="146"/>
      <c r="BQ200" s="112" t="s">
        <v>113</v>
      </c>
      <c r="BR200" s="113"/>
      <c r="BS200" s="105"/>
      <c r="BT200" s="146"/>
      <c r="BU200" s="105"/>
      <c r="BV200" s="105"/>
      <c r="BW200" s="112"/>
      <c r="BX200" s="113"/>
      <c r="BY200" s="105"/>
      <c r="BZ200" s="113"/>
      <c r="CA200" s="113"/>
      <c r="CB200" s="105"/>
      <c r="CC200" s="113"/>
      <c r="CD200" s="113"/>
      <c r="CE200" s="112"/>
      <c r="CF200" s="113"/>
      <c r="CG200" s="105"/>
      <c r="CH200" s="146"/>
      <c r="CI200" s="105"/>
      <c r="CJ200" s="105"/>
      <c r="CK200" s="112"/>
      <c r="CL200" s="113"/>
      <c r="CM200" s="105"/>
      <c r="CN200" s="113"/>
      <c r="CO200" s="113"/>
      <c r="CP200" s="105"/>
      <c r="CQ200" s="113"/>
      <c r="CR200" s="113"/>
      <c r="CS200" s="112"/>
      <c r="CT200" s="113"/>
      <c r="CU200" s="105"/>
      <c r="CV200" s="146"/>
      <c r="CW200" s="105"/>
      <c r="CX200" s="105"/>
      <c r="CY200" s="112"/>
      <c r="CZ200" s="113"/>
      <c r="DA200" s="105"/>
      <c r="DB200" s="113"/>
      <c r="DC200" s="113"/>
      <c r="DD200" s="105"/>
      <c r="DE200" s="113"/>
      <c r="DF200" s="113"/>
      <c r="DG200" s="112"/>
      <c r="DH200" s="113"/>
      <c r="DI200" s="105"/>
      <c r="DJ200" s="146"/>
      <c r="DK200" s="105"/>
      <c r="DL200" s="105"/>
      <c r="DM200" s="112"/>
      <c r="DN200" s="113"/>
      <c r="DO200" s="105"/>
      <c r="DP200" s="113"/>
      <c r="DQ200" s="113"/>
      <c r="DR200" s="105"/>
      <c r="DS200" s="113"/>
      <c r="DT200" s="113"/>
      <c r="DU200" s="112"/>
      <c r="DV200" s="113"/>
      <c r="DW200" s="105"/>
      <c r="DX200" s="146"/>
      <c r="DY200" s="105"/>
      <c r="DZ200" s="105"/>
      <c r="EA200" s="112"/>
      <c r="EB200" s="113"/>
      <c r="EC200" s="105"/>
      <c r="ED200" s="113"/>
      <c r="EE200" s="113"/>
      <c r="EF200" s="105"/>
      <c r="EG200" s="113"/>
      <c r="EH200" s="113"/>
      <c r="EI200" s="112"/>
      <c r="EJ200" s="113"/>
      <c r="EK200" s="105"/>
      <c r="EL200" s="146"/>
      <c r="EM200" s="72"/>
      <c r="EN200" s="74"/>
      <c r="EO200" s="73"/>
      <c r="EP200" s="72" t="s">
        <v>96</v>
      </c>
      <c r="EQ200" s="72"/>
      <c r="ER200" s="75"/>
      <c r="ES200" s="76"/>
      <c r="ET200" s="77"/>
      <c r="EU200" s="77"/>
      <c r="EV200" s="78"/>
      <c r="EW200" s="72"/>
      <c r="EX200" s="72"/>
      <c r="EY200" s="72"/>
      <c r="EZ200" s="72"/>
      <c r="FA200" s="72"/>
      <c r="FB200" s="78"/>
      <c r="FC200" s="78"/>
      <c r="FD200" s="146"/>
      <c r="FE200" s="78"/>
      <c r="FF200" s="78"/>
      <c r="FG200" s="78"/>
      <c r="FO200" s="146"/>
      <c r="FP200" s="78"/>
      <c r="FQ200" s="78"/>
      <c r="FR200" s="78"/>
    </row>
    <row r="201" spans="1:181" s="71" customFormat="1" ht="16.350000000000001" customHeight="1" x14ac:dyDescent="0.25">
      <c r="A201" s="109"/>
      <c r="B201" s="70"/>
      <c r="C201" s="110"/>
      <c r="D201" s="110">
        <v>1</v>
      </c>
      <c r="E201" s="146"/>
      <c r="F201" s="109" t="str">
        <f>mehrsprachigkeitBegriffsrückgabe(gewählteSpracheZurückgeben(), "Product")</f>
        <v>Produkt</v>
      </c>
      <c r="G201" s="111" t="s">
        <v>289</v>
      </c>
      <c r="H201" s="111"/>
      <c r="I201" s="111" t="s">
        <v>86</v>
      </c>
      <c r="J201" s="111" t="s">
        <v>382</v>
      </c>
      <c r="K201" s="111"/>
      <c r="L201" s="146"/>
      <c r="M201" s="149" t="s">
        <v>392</v>
      </c>
      <c r="N201" s="111" t="s">
        <v>396</v>
      </c>
      <c r="O201" s="114"/>
      <c r="P201" s="114"/>
      <c r="Q201" s="111"/>
      <c r="R201" s="111"/>
      <c r="S201" s="111"/>
      <c r="T201" s="111"/>
      <c r="U201" s="111"/>
      <c r="V201" s="111"/>
      <c r="W201" s="111"/>
      <c r="X201" s="111"/>
      <c r="Y201" s="111"/>
      <c r="Z201" s="111"/>
      <c r="AA201" s="111"/>
      <c r="AB201" s="111"/>
      <c r="AC201" s="111"/>
      <c r="AD201" s="111"/>
      <c r="AE201" s="111"/>
      <c r="AF201" s="111"/>
      <c r="AG201" s="111"/>
      <c r="AH201" s="111"/>
      <c r="AI201" s="111"/>
      <c r="AJ201" s="111"/>
      <c r="AK201" s="111"/>
      <c r="AL201" s="111"/>
      <c r="AM201" s="111"/>
      <c r="AN201" s="111"/>
      <c r="AO201" s="111"/>
      <c r="AP201" s="111"/>
      <c r="AQ201" s="111"/>
      <c r="AR201" s="111"/>
      <c r="AS201" s="111"/>
      <c r="AT201" s="111"/>
      <c r="AU201" s="111"/>
      <c r="AV201" s="111"/>
      <c r="AW201" s="111"/>
      <c r="AX201" s="111"/>
      <c r="AY201" s="111"/>
      <c r="AZ201" s="111"/>
      <c r="BA201" s="146"/>
      <c r="BB201" s="104" t="s">
        <v>98</v>
      </c>
      <c r="BC201" s="72" t="s">
        <v>93</v>
      </c>
      <c r="BD201" s="72" t="s">
        <v>508</v>
      </c>
      <c r="BE201" s="72" t="s">
        <v>412</v>
      </c>
      <c r="BF201" s="146"/>
      <c r="BG201" s="112">
        <v>74.900000000000006</v>
      </c>
      <c r="BH201" s="113"/>
      <c r="BI201" s="146"/>
      <c r="BJ201" s="105"/>
      <c r="BK201" s="113"/>
      <c r="BL201" s="113"/>
      <c r="BM201" s="105"/>
      <c r="BN201" s="113"/>
      <c r="BO201" s="152"/>
      <c r="BP201" s="146"/>
      <c r="BQ201" s="112" t="s">
        <v>113</v>
      </c>
      <c r="BR201" s="113"/>
      <c r="BS201" s="105"/>
      <c r="BT201" s="146"/>
      <c r="BU201" s="105"/>
      <c r="BV201" s="105"/>
      <c r="BW201" s="112"/>
      <c r="BX201" s="113"/>
      <c r="BY201" s="105"/>
      <c r="BZ201" s="113"/>
      <c r="CA201" s="113"/>
      <c r="CB201" s="105"/>
      <c r="CC201" s="113"/>
      <c r="CD201" s="152"/>
      <c r="CE201" s="112"/>
      <c r="CF201" s="113"/>
      <c r="CG201" s="105"/>
      <c r="CH201" s="146"/>
      <c r="CI201" s="105"/>
      <c r="CJ201" s="105"/>
      <c r="CK201" s="112"/>
      <c r="CL201" s="113"/>
      <c r="CM201" s="105"/>
      <c r="CN201" s="152"/>
      <c r="CO201" s="152"/>
      <c r="CP201" s="105"/>
      <c r="CQ201" s="113"/>
      <c r="CR201" s="152"/>
      <c r="CS201" s="112"/>
      <c r="CT201" s="113"/>
      <c r="CU201" s="105"/>
      <c r="CV201" s="146"/>
      <c r="CW201" s="105"/>
      <c r="CX201" s="105"/>
      <c r="CY201" s="112"/>
      <c r="CZ201" s="113"/>
      <c r="DA201" s="105"/>
      <c r="DB201" s="113"/>
      <c r="DC201" s="113"/>
      <c r="DD201" s="105"/>
      <c r="DE201" s="113"/>
      <c r="DF201" s="113"/>
      <c r="DG201" s="112"/>
      <c r="DH201" s="113"/>
      <c r="DI201" s="105"/>
      <c r="DJ201" s="146"/>
      <c r="DK201" s="105"/>
      <c r="DL201" s="105"/>
      <c r="DM201" s="112"/>
      <c r="DN201" s="113"/>
      <c r="DO201" s="105"/>
      <c r="DP201" s="113"/>
      <c r="DQ201" s="113"/>
      <c r="DR201" s="105"/>
      <c r="DS201" s="113"/>
      <c r="DT201" s="113"/>
      <c r="DU201" s="112"/>
      <c r="DV201" s="113"/>
      <c r="DW201" s="105"/>
      <c r="DX201" s="146"/>
      <c r="DY201" s="105"/>
      <c r="DZ201" s="105"/>
      <c r="EA201" s="112"/>
      <c r="EB201" s="113"/>
      <c r="EC201" s="105"/>
      <c r="ED201" s="113"/>
      <c r="EE201" s="113"/>
      <c r="EF201" s="105"/>
      <c r="EG201" s="113"/>
      <c r="EH201" s="113"/>
      <c r="EI201" s="112"/>
      <c r="EJ201" s="113"/>
      <c r="EK201" s="105"/>
      <c r="EL201" s="146"/>
      <c r="EM201" s="72" t="s">
        <v>115</v>
      </c>
      <c r="EN201" s="74">
        <v>2250</v>
      </c>
      <c r="EO201" s="73"/>
      <c r="EP201" s="72" t="s">
        <v>77</v>
      </c>
      <c r="EQ201" s="72"/>
      <c r="ER201" s="75"/>
      <c r="ES201" s="76"/>
      <c r="ET201" s="77"/>
      <c r="EU201" s="77"/>
      <c r="EV201" s="78"/>
      <c r="EW201" s="72"/>
      <c r="EX201" s="72"/>
      <c r="EY201" s="72" t="s">
        <v>100</v>
      </c>
      <c r="EZ201" s="72" t="s">
        <v>114</v>
      </c>
      <c r="FA201" s="72"/>
      <c r="FB201" s="78"/>
      <c r="FC201" s="78"/>
      <c r="FD201" s="146"/>
      <c r="FE201" s="78"/>
      <c r="FF201" s="78"/>
      <c r="FG201" s="78"/>
      <c r="FH201" s="78"/>
      <c r="FI201" s="78"/>
      <c r="FJ201" s="78"/>
      <c r="FK201" s="78"/>
      <c r="FL201" s="78"/>
      <c r="FM201" s="78"/>
      <c r="FN201" s="78"/>
      <c r="FO201" s="146"/>
      <c r="FP201" s="78"/>
      <c r="FQ201" s="78"/>
      <c r="FR201" s="78"/>
      <c r="FS201" s="78"/>
      <c r="FT201" s="78"/>
      <c r="FU201" s="78"/>
      <c r="FV201" s="78"/>
      <c r="FW201" s="78"/>
      <c r="FX201" s="78"/>
      <c r="FY201" s="78"/>
    </row>
    <row r="202" spans="1:181" s="71" customFormat="1" ht="16.350000000000001" customHeight="1" x14ac:dyDescent="0.25">
      <c r="A202" s="109"/>
      <c r="B202" s="70"/>
      <c r="C202" s="110"/>
      <c r="D202" s="110"/>
      <c r="E202" s="146"/>
      <c r="F202" s="109" t="str">
        <f>mehrsprachigkeitBegriffsrückgabe(gewählteSpracheZurückgeben(), "Product (foreign language)")</f>
        <v>Produkt (Fremdsprache)</v>
      </c>
      <c r="G202" s="111"/>
      <c r="H202" s="111" t="s">
        <v>289</v>
      </c>
      <c r="I202" s="111" t="s">
        <v>94</v>
      </c>
      <c r="J202" s="111" t="s">
        <v>334</v>
      </c>
      <c r="K202" s="111"/>
      <c r="L202" s="146"/>
      <c r="M202" s="149"/>
      <c r="N202" s="111"/>
      <c r="O202" s="111"/>
      <c r="P202" s="111"/>
      <c r="Q202" s="111"/>
      <c r="R202" s="111"/>
      <c r="S202" s="111"/>
      <c r="T202" s="111"/>
      <c r="U202" s="111"/>
      <c r="V202" s="111"/>
      <c r="W202" s="111"/>
      <c r="X202" s="111"/>
      <c r="Y202" s="111"/>
      <c r="Z202" s="111"/>
      <c r="AA202" s="111"/>
      <c r="AB202" s="111"/>
      <c r="AC202" s="111"/>
      <c r="AD202" s="111"/>
      <c r="AE202" s="111"/>
      <c r="AF202" s="111"/>
      <c r="AG202" s="111"/>
      <c r="AH202" s="111"/>
      <c r="AI202" s="111"/>
      <c r="AJ202" s="111"/>
      <c r="AK202" s="111"/>
      <c r="AL202" s="111"/>
      <c r="AM202" s="111"/>
      <c r="AN202" s="111"/>
      <c r="AO202" s="111"/>
      <c r="AP202" s="111"/>
      <c r="AQ202" s="111"/>
      <c r="AR202" s="111"/>
      <c r="AS202" s="111"/>
      <c r="AT202" s="111"/>
      <c r="AU202" s="111"/>
      <c r="AV202" s="111"/>
      <c r="AW202" s="111"/>
      <c r="AX202" s="111"/>
      <c r="AY202" s="111"/>
      <c r="AZ202" s="111"/>
      <c r="BA202" s="146"/>
      <c r="BB202" s="104" t="s">
        <v>99</v>
      </c>
      <c r="BC202" s="72" t="s">
        <v>95</v>
      </c>
      <c r="BD202" s="72"/>
      <c r="BE202" s="72"/>
      <c r="BF202" s="146"/>
      <c r="BG202" s="112" t="s">
        <v>113</v>
      </c>
      <c r="BH202" s="113"/>
      <c r="BI202" s="146"/>
      <c r="BJ202" s="105"/>
      <c r="BK202" s="113"/>
      <c r="BL202" s="113"/>
      <c r="BM202" s="105"/>
      <c r="BN202" s="113"/>
      <c r="BO202" s="113"/>
      <c r="BP202" s="146"/>
      <c r="BQ202" s="112" t="s">
        <v>113</v>
      </c>
      <c r="BR202" s="113"/>
      <c r="BS202" s="105"/>
      <c r="BT202" s="146"/>
      <c r="BU202" s="105"/>
      <c r="BV202" s="105"/>
      <c r="BW202" s="112"/>
      <c r="BX202" s="113"/>
      <c r="BY202" s="105"/>
      <c r="BZ202" s="113"/>
      <c r="CA202" s="113"/>
      <c r="CB202" s="105"/>
      <c r="CC202" s="113"/>
      <c r="CD202" s="113"/>
      <c r="CE202" s="112"/>
      <c r="CF202" s="113"/>
      <c r="CG202" s="105"/>
      <c r="CH202" s="146"/>
      <c r="CI202" s="105"/>
      <c r="CJ202" s="105"/>
      <c r="CK202" s="112"/>
      <c r="CL202" s="113"/>
      <c r="CM202" s="105"/>
      <c r="CN202" s="113"/>
      <c r="CO202" s="113"/>
      <c r="CP202" s="105"/>
      <c r="CQ202" s="113"/>
      <c r="CR202" s="113"/>
      <c r="CS202" s="112"/>
      <c r="CT202" s="113"/>
      <c r="CU202" s="105"/>
      <c r="CV202" s="146"/>
      <c r="CW202" s="105"/>
      <c r="CX202" s="105"/>
      <c r="CY202" s="112"/>
      <c r="CZ202" s="113"/>
      <c r="DA202" s="105"/>
      <c r="DB202" s="113"/>
      <c r="DC202" s="113"/>
      <c r="DD202" s="105"/>
      <c r="DE202" s="113"/>
      <c r="DF202" s="113"/>
      <c r="DG202" s="112"/>
      <c r="DH202" s="113"/>
      <c r="DI202" s="105"/>
      <c r="DJ202" s="146"/>
      <c r="DK202" s="105"/>
      <c r="DL202" s="105"/>
      <c r="DM202" s="112"/>
      <c r="DN202" s="113"/>
      <c r="DO202" s="105"/>
      <c r="DP202" s="113"/>
      <c r="DQ202" s="113"/>
      <c r="DR202" s="105"/>
      <c r="DS202" s="113"/>
      <c r="DT202" s="113"/>
      <c r="DU202" s="112"/>
      <c r="DV202" s="113"/>
      <c r="DW202" s="105"/>
      <c r="DX202" s="146"/>
      <c r="DY202" s="105"/>
      <c r="DZ202" s="105"/>
      <c r="EA202" s="112"/>
      <c r="EB202" s="113"/>
      <c r="EC202" s="105"/>
      <c r="ED202" s="113"/>
      <c r="EE202" s="113"/>
      <c r="EF202" s="105"/>
      <c r="EG202" s="113"/>
      <c r="EH202" s="113"/>
      <c r="EI202" s="112"/>
      <c r="EJ202" s="113"/>
      <c r="EK202" s="105"/>
      <c r="EL202" s="146"/>
      <c r="EM202" s="72"/>
      <c r="EN202" s="74"/>
      <c r="EO202" s="73"/>
      <c r="EP202" s="72" t="s">
        <v>96</v>
      </c>
      <c r="EQ202" s="72"/>
      <c r="ER202" s="75"/>
      <c r="ES202" s="76"/>
      <c r="ET202" s="77"/>
      <c r="EU202" s="77"/>
      <c r="EV202" s="78"/>
      <c r="EW202" s="72"/>
      <c r="EX202" s="72"/>
      <c r="EY202" s="72"/>
      <c r="EZ202" s="72"/>
      <c r="FA202" s="72"/>
      <c r="FB202" s="78"/>
      <c r="FC202" s="78"/>
      <c r="FD202" s="146"/>
      <c r="FE202" s="78"/>
      <c r="FF202" s="78"/>
      <c r="FG202" s="78"/>
      <c r="FO202" s="146"/>
      <c r="FP202" s="78"/>
      <c r="FQ202" s="78"/>
      <c r="FR202" s="78"/>
    </row>
    <row r="203" spans="1:181" s="71" customFormat="1" ht="16.350000000000001" customHeight="1" x14ac:dyDescent="0.25">
      <c r="A203" s="109"/>
      <c r="B203" s="70"/>
      <c r="C203" s="110"/>
      <c r="D203" s="110">
        <v>1</v>
      </c>
      <c r="E203" s="146"/>
      <c r="F203" s="109" t="str">
        <f>mehrsprachigkeitBegriffsrückgabe(gewählteSpracheZurückgeben(), "Product")</f>
        <v>Produkt</v>
      </c>
      <c r="G203" s="111" t="s">
        <v>290</v>
      </c>
      <c r="H203" s="111"/>
      <c r="I203" s="111" t="s">
        <v>86</v>
      </c>
      <c r="J203" s="111" t="s">
        <v>383</v>
      </c>
      <c r="K203" s="111"/>
      <c r="L203" s="146"/>
      <c r="M203" s="149" t="s">
        <v>392</v>
      </c>
      <c r="N203" s="111" t="s">
        <v>401</v>
      </c>
      <c r="O203" s="114"/>
      <c r="P203" s="114"/>
      <c r="Q203" s="111"/>
      <c r="R203" s="111"/>
      <c r="S203" s="111"/>
      <c r="T203" s="111"/>
      <c r="U203" s="111"/>
      <c r="V203" s="111"/>
      <c r="W203" s="111"/>
      <c r="X203" s="111"/>
      <c r="Y203" s="111"/>
      <c r="Z203" s="111"/>
      <c r="AA203" s="111"/>
      <c r="AB203" s="111"/>
      <c r="AC203" s="111"/>
      <c r="AD203" s="111"/>
      <c r="AE203" s="111"/>
      <c r="AF203" s="111"/>
      <c r="AG203" s="111"/>
      <c r="AH203" s="111"/>
      <c r="AI203" s="111"/>
      <c r="AJ203" s="111"/>
      <c r="AK203" s="111"/>
      <c r="AL203" s="111"/>
      <c r="AM203" s="111"/>
      <c r="AN203" s="111"/>
      <c r="AO203" s="111"/>
      <c r="AP203" s="111"/>
      <c r="AQ203" s="111"/>
      <c r="AR203" s="111"/>
      <c r="AS203" s="111"/>
      <c r="AT203" s="111"/>
      <c r="AU203" s="111"/>
      <c r="AV203" s="111"/>
      <c r="AW203" s="111"/>
      <c r="AX203" s="111"/>
      <c r="AY203" s="111"/>
      <c r="AZ203" s="111"/>
      <c r="BA203" s="146"/>
      <c r="BB203" s="104" t="s">
        <v>98</v>
      </c>
      <c r="BC203" s="72" t="s">
        <v>93</v>
      </c>
      <c r="BD203" s="72" t="s">
        <v>508</v>
      </c>
      <c r="BE203" s="72" t="s">
        <v>418</v>
      </c>
      <c r="BF203" s="146"/>
      <c r="BG203" s="112">
        <v>69.900000000000006</v>
      </c>
      <c r="BH203" s="113"/>
      <c r="BI203" s="146"/>
      <c r="BJ203" s="105"/>
      <c r="BK203" s="113"/>
      <c r="BL203" s="113"/>
      <c r="BM203" s="105"/>
      <c r="BN203" s="113"/>
      <c r="BO203" s="152"/>
      <c r="BP203" s="146"/>
      <c r="BQ203" s="112" t="s">
        <v>113</v>
      </c>
      <c r="BR203" s="113"/>
      <c r="BS203" s="105"/>
      <c r="BT203" s="146"/>
      <c r="BU203" s="105"/>
      <c r="BV203" s="105"/>
      <c r="BW203" s="112"/>
      <c r="BX203" s="113"/>
      <c r="BY203" s="105"/>
      <c r="BZ203" s="113"/>
      <c r="CA203" s="113"/>
      <c r="CB203" s="105"/>
      <c r="CC203" s="113"/>
      <c r="CD203" s="152"/>
      <c r="CE203" s="112"/>
      <c r="CF203" s="113"/>
      <c r="CG203" s="105"/>
      <c r="CH203" s="146"/>
      <c r="CI203" s="105"/>
      <c r="CJ203" s="105"/>
      <c r="CK203" s="112"/>
      <c r="CL203" s="113"/>
      <c r="CM203" s="105"/>
      <c r="CN203" s="152"/>
      <c r="CO203" s="152"/>
      <c r="CP203" s="105"/>
      <c r="CQ203" s="113"/>
      <c r="CR203" s="152"/>
      <c r="CS203" s="112"/>
      <c r="CT203" s="113"/>
      <c r="CU203" s="105"/>
      <c r="CV203" s="146"/>
      <c r="CW203" s="105"/>
      <c r="CX203" s="105"/>
      <c r="CY203" s="112"/>
      <c r="CZ203" s="113"/>
      <c r="DA203" s="105"/>
      <c r="DB203" s="113"/>
      <c r="DC203" s="113"/>
      <c r="DD203" s="105"/>
      <c r="DE203" s="113"/>
      <c r="DF203" s="113"/>
      <c r="DG203" s="112"/>
      <c r="DH203" s="113"/>
      <c r="DI203" s="105"/>
      <c r="DJ203" s="146"/>
      <c r="DK203" s="105"/>
      <c r="DL203" s="105"/>
      <c r="DM203" s="112"/>
      <c r="DN203" s="113"/>
      <c r="DO203" s="105"/>
      <c r="DP203" s="113"/>
      <c r="DQ203" s="113"/>
      <c r="DR203" s="105"/>
      <c r="DS203" s="113"/>
      <c r="DT203" s="113"/>
      <c r="DU203" s="112"/>
      <c r="DV203" s="113"/>
      <c r="DW203" s="105"/>
      <c r="DX203" s="146"/>
      <c r="DY203" s="105"/>
      <c r="DZ203" s="105"/>
      <c r="EA203" s="112"/>
      <c r="EB203" s="113"/>
      <c r="EC203" s="105"/>
      <c r="ED203" s="113"/>
      <c r="EE203" s="113"/>
      <c r="EF203" s="105"/>
      <c r="EG203" s="113"/>
      <c r="EH203" s="113"/>
      <c r="EI203" s="112"/>
      <c r="EJ203" s="113"/>
      <c r="EK203" s="105"/>
      <c r="EL203" s="146"/>
      <c r="EM203" s="72" t="s">
        <v>115</v>
      </c>
      <c r="EN203" s="74">
        <v>2250</v>
      </c>
      <c r="EO203" s="73"/>
      <c r="EP203" s="72" t="s">
        <v>77</v>
      </c>
      <c r="EQ203" s="72"/>
      <c r="ER203" s="75"/>
      <c r="ES203" s="76"/>
      <c r="ET203" s="77">
        <v>1</v>
      </c>
      <c r="EU203" s="77"/>
      <c r="EV203" s="78"/>
      <c r="EW203" s="72"/>
      <c r="EX203" s="72"/>
      <c r="EY203" s="72" t="s">
        <v>100</v>
      </c>
      <c r="EZ203" s="72" t="s">
        <v>114</v>
      </c>
      <c r="FA203" s="72"/>
      <c r="FB203" s="78"/>
      <c r="FC203" s="78"/>
      <c r="FD203" s="146"/>
      <c r="FE203" s="78"/>
      <c r="FF203" s="78"/>
      <c r="FG203" s="78"/>
      <c r="FH203" s="78"/>
      <c r="FI203" s="78"/>
      <c r="FJ203" s="78"/>
      <c r="FK203" s="78"/>
      <c r="FL203" s="78"/>
      <c r="FM203" s="78"/>
      <c r="FN203" s="78"/>
      <c r="FO203" s="146"/>
      <c r="FP203" s="78"/>
      <c r="FQ203" s="78"/>
      <c r="FR203" s="78"/>
      <c r="FS203" s="78"/>
      <c r="FT203" s="78"/>
      <c r="FU203" s="78"/>
      <c r="FV203" s="78"/>
      <c r="FW203" s="78"/>
      <c r="FX203" s="78"/>
      <c r="FY203" s="78"/>
    </row>
    <row r="204" spans="1:181" s="71" customFormat="1" ht="16.350000000000001" customHeight="1" x14ac:dyDescent="0.25">
      <c r="A204" s="109"/>
      <c r="B204" s="70"/>
      <c r="C204" s="110"/>
      <c r="D204" s="110"/>
      <c r="E204" s="146"/>
      <c r="F204" s="109" t="str">
        <f>mehrsprachigkeitBegriffsrückgabe(gewählteSpracheZurückgeben(), "Product (foreign language)")</f>
        <v>Produkt (Fremdsprache)</v>
      </c>
      <c r="G204" s="111"/>
      <c r="H204" s="111" t="s">
        <v>290</v>
      </c>
      <c r="I204" s="111" t="s">
        <v>94</v>
      </c>
      <c r="J204" s="111" t="s">
        <v>335</v>
      </c>
      <c r="K204" s="111"/>
      <c r="L204" s="146"/>
      <c r="M204" s="149"/>
      <c r="N204" s="111"/>
      <c r="O204" s="111"/>
      <c r="P204" s="111"/>
      <c r="Q204" s="111"/>
      <c r="R204" s="111"/>
      <c r="S204" s="111"/>
      <c r="T204" s="111"/>
      <c r="U204" s="111"/>
      <c r="V204" s="111"/>
      <c r="W204" s="111"/>
      <c r="X204" s="111"/>
      <c r="Y204" s="111"/>
      <c r="Z204" s="111"/>
      <c r="AA204" s="111"/>
      <c r="AB204" s="111"/>
      <c r="AC204" s="111"/>
      <c r="AD204" s="111"/>
      <c r="AE204" s="111"/>
      <c r="AF204" s="111"/>
      <c r="AG204" s="111"/>
      <c r="AH204" s="111"/>
      <c r="AI204" s="111"/>
      <c r="AJ204" s="111"/>
      <c r="AK204" s="111"/>
      <c r="AL204" s="111"/>
      <c r="AM204" s="111"/>
      <c r="AN204" s="111"/>
      <c r="AO204" s="111"/>
      <c r="AP204" s="111"/>
      <c r="AQ204" s="111"/>
      <c r="AR204" s="111"/>
      <c r="AS204" s="111"/>
      <c r="AT204" s="111"/>
      <c r="AU204" s="111"/>
      <c r="AV204" s="111"/>
      <c r="AW204" s="111"/>
      <c r="AX204" s="111"/>
      <c r="AY204" s="111"/>
      <c r="AZ204" s="111"/>
      <c r="BA204" s="146"/>
      <c r="BB204" s="104" t="s">
        <v>99</v>
      </c>
      <c r="BC204" s="72" t="s">
        <v>95</v>
      </c>
      <c r="BD204" s="72"/>
      <c r="BE204" s="72"/>
      <c r="BF204" s="146"/>
      <c r="BG204" s="112" t="s">
        <v>113</v>
      </c>
      <c r="BH204" s="113"/>
      <c r="BI204" s="146"/>
      <c r="BJ204" s="105"/>
      <c r="BK204" s="113"/>
      <c r="BL204" s="113"/>
      <c r="BM204" s="105"/>
      <c r="BN204" s="113"/>
      <c r="BO204" s="113"/>
      <c r="BP204" s="146"/>
      <c r="BQ204" s="112" t="s">
        <v>113</v>
      </c>
      <c r="BR204" s="113"/>
      <c r="BS204" s="105"/>
      <c r="BT204" s="146"/>
      <c r="BU204" s="105"/>
      <c r="BV204" s="105"/>
      <c r="BW204" s="112"/>
      <c r="BX204" s="113"/>
      <c r="BY204" s="105"/>
      <c r="BZ204" s="113"/>
      <c r="CA204" s="113"/>
      <c r="CB204" s="105"/>
      <c r="CC204" s="113"/>
      <c r="CD204" s="113"/>
      <c r="CE204" s="112"/>
      <c r="CF204" s="113"/>
      <c r="CG204" s="105"/>
      <c r="CH204" s="146"/>
      <c r="CI204" s="105"/>
      <c r="CJ204" s="105"/>
      <c r="CK204" s="112"/>
      <c r="CL204" s="113"/>
      <c r="CM204" s="105"/>
      <c r="CN204" s="113"/>
      <c r="CO204" s="113"/>
      <c r="CP204" s="105"/>
      <c r="CQ204" s="113"/>
      <c r="CR204" s="113"/>
      <c r="CS204" s="112"/>
      <c r="CT204" s="113"/>
      <c r="CU204" s="105"/>
      <c r="CV204" s="146"/>
      <c r="CW204" s="105"/>
      <c r="CX204" s="105"/>
      <c r="CY204" s="112"/>
      <c r="CZ204" s="113"/>
      <c r="DA204" s="105"/>
      <c r="DB204" s="113"/>
      <c r="DC204" s="113"/>
      <c r="DD204" s="105"/>
      <c r="DE204" s="113"/>
      <c r="DF204" s="113"/>
      <c r="DG204" s="112"/>
      <c r="DH204" s="113"/>
      <c r="DI204" s="105"/>
      <c r="DJ204" s="146"/>
      <c r="DK204" s="105"/>
      <c r="DL204" s="105"/>
      <c r="DM204" s="112"/>
      <c r="DN204" s="113"/>
      <c r="DO204" s="105"/>
      <c r="DP204" s="113"/>
      <c r="DQ204" s="113"/>
      <c r="DR204" s="105"/>
      <c r="DS204" s="113"/>
      <c r="DT204" s="113"/>
      <c r="DU204" s="112"/>
      <c r="DV204" s="113"/>
      <c r="DW204" s="105"/>
      <c r="DX204" s="146"/>
      <c r="DY204" s="105"/>
      <c r="DZ204" s="105"/>
      <c r="EA204" s="112"/>
      <c r="EB204" s="113"/>
      <c r="EC204" s="105"/>
      <c r="ED204" s="113"/>
      <c r="EE204" s="113"/>
      <c r="EF204" s="105"/>
      <c r="EG204" s="113"/>
      <c r="EH204" s="113"/>
      <c r="EI204" s="112"/>
      <c r="EJ204" s="113"/>
      <c r="EK204" s="105"/>
      <c r="EL204" s="146"/>
      <c r="EM204" s="72"/>
      <c r="EN204" s="74"/>
      <c r="EO204" s="73"/>
      <c r="EP204" s="72" t="s">
        <v>96</v>
      </c>
      <c r="EQ204" s="72"/>
      <c r="ER204" s="75"/>
      <c r="ES204" s="76"/>
      <c r="ET204" s="77"/>
      <c r="EU204" s="77"/>
      <c r="EV204" s="78"/>
      <c r="EW204" s="72"/>
      <c r="EX204" s="72"/>
      <c r="EY204" s="72"/>
      <c r="EZ204" s="72"/>
      <c r="FA204" s="72"/>
      <c r="FB204" s="78"/>
      <c r="FC204" s="78"/>
      <c r="FD204" s="146"/>
      <c r="FE204" s="78"/>
      <c r="FF204" s="78"/>
      <c r="FG204" s="78"/>
      <c r="FO204" s="146"/>
      <c r="FP204" s="78"/>
      <c r="FQ204" s="78"/>
      <c r="FR204" s="78"/>
    </row>
    <row r="205" spans="1:181" s="71" customFormat="1" ht="16.350000000000001" customHeight="1" x14ac:dyDescent="0.25">
      <c r="A205" s="109"/>
      <c r="B205" s="70"/>
      <c r="C205" s="110"/>
      <c r="D205" s="110">
        <v>1</v>
      </c>
      <c r="E205" s="146"/>
      <c r="F205" s="109" t="str">
        <f>mehrsprachigkeitBegriffsrückgabe(gewählteSpracheZurückgeben(), "Product")</f>
        <v>Produkt</v>
      </c>
      <c r="G205" s="111" t="s">
        <v>291</v>
      </c>
      <c r="H205" s="111"/>
      <c r="I205" s="111" t="s">
        <v>86</v>
      </c>
      <c r="J205" s="111" t="s">
        <v>384</v>
      </c>
      <c r="K205" s="111"/>
      <c r="L205" s="146"/>
      <c r="M205" s="149" t="s">
        <v>392</v>
      </c>
      <c r="N205" s="111" t="s">
        <v>395</v>
      </c>
      <c r="O205" s="114"/>
      <c r="P205" s="114"/>
      <c r="Q205" s="111"/>
      <c r="R205" s="111"/>
      <c r="S205" s="111"/>
      <c r="T205" s="111"/>
      <c r="U205" s="111"/>
      <c r="V205" s="111"/>
      <c r="W205" s="111"/>
      <c r="X205" s="111"/>
      <c r="Y205" s="111"/>
      <c r="Z205" s="111"/>
      <c r="AA205" s="111"/>
      <c r="AB205" s="111"/>
      <c r="AC205" s="111"/>
      <c r="AD205" s="111"/>
      <c r="AE205" s="111"/>
      <c r="AF205" s="111"/>
      <c r="AG205" s="111"/>
      <c r="AH205" s="111"/>
      <c r="AI205" s="111"/>
      <c r="AJ205" s="111"/>
      <c r="AK205" s="111"/>
      <c r="AL205" s="111"/>
      <c r="AM205" s="111"/>
      <c r="AN205" s="111"/>
      <c r="AO205" s="111"/>
      <c r="AP205" s="111"/>
      <c r="AQ205" s="111"/>
      <c r="AR205" s="111"/>
      <c r="AS205" s="111"/>
      <c r="AT205" s="111"/>
      <c r="AU205" s="111"/>
      <c r="AV205" s="111"/>
      <c r="AW205" s="111"/>
      <c r="AX205" s="111"/>
      <c r="AY205" s="111"/>
      <c r="AZ205" s="111"/>
      <c r="BA205" s="146"/>
      <c r="BB205" s="104" t="s">
        <v>98</v>
      </c>
      <c r="BC205" s="72" t="s">
        <v>93</v>
      </c>
      <c r="BD205" s="72" t="s">
        <v>508</v>
      </c>
      <c r="BE205" s="72" t="s">
        <v>418</v>
      </c>
      <c r="BF205" s="146"/>
      <c r="BG205" s="112">
        <v>89.9</v>
      </c>
      <c r="BH205" s="113"/>
      <c r="BI205" s="146"/>
      <c r="BJ205" s="105"/>
      <c r="BK205" s="113"/>
      <c r="BL205" s="113"/>
      <c r="BM205" s="105"/>
      <c r="BN205" s="113"/>
      <c r="BO205" s="152"/>
      <c r="BP205" s="146"/>
      <c r="BQ205" s="112" t="s">
        <v>113</v>
      </c>
      <c r="BR205" s="113"/>
      <c r="BS205" s="105"/>
      <c r="BT205" s="146"/>
      <c r="BU205" s="105"/>
      <c r="BV205" s="105"/>
      <c r="BW205" s="112"/>
      <c r="BX205" s="113"/>
      <c r="BY205" s="105"/>
      <c r="BZ205" s="113"/>
      <c r="CA205" s="113"/>
      <c r="CB205" s="105"/>
      <c r="CC205" s="113"/>
      <c r="CD205" s="152"/>
      <c r="CE205" s="112"/>
      <c r="CF205" s="113"/>
      <c r="CG205" s="105"/>
      <c r="CH205" s="146"/>
      <c r="CI205" s="105"/>
      <c r="CJ205" s="105"/>
      <c r="CK205" s="112"/>
      <c r="CL205" s="113"/>
      <c r="CM205" s="105"/>
      <c r="CN205" s="152"/>
      <c r="CO205" s="152"/>
      <c r="CP205" s="105"/>
      <c r="CQ205" s="113"/>
      <c r="CR205" s="152"/>
      <c r="CS205" s="112"/>
      <c r="CT205" s="113"/>
      <c r="CU205" s="105"/>
      <c r="CV205" s="146"/>
      <c r="CW205" s="105"/>
      <c r="CX205" s="105"/>
      <c r="CY205" s="112"/>
      <c r="CZ205" s="113"/>
      <c r="DA205" s="105"/>
      <c r="DB205" s="113"/>
      <c r="DC205" s="113"/>
      <c r="DD205" s="105"/>
      <c r="DE205" s="113"/>
      <c r="DF205" s="113"/>
      <c r="DG205" s="112"/>
      <c r="DH205" s="113"/>
      <c r="DI205" s="105"/>
      <c r="DJ205" s="146"/>
      <c r="DK205" s="105"/>
      <c r="DL205" s="105"/>
      <c r="DM205" s="112"/>
      <c r="DN205" s="113"/>
      <c r="DO205" s="105"/>
      <c r="DP205" s="113"/>
      <c r="DQ205" s="113"/>
      <c r="DR205" s="105"/>
      <c r="DS205" s="113"/>
      <c r="DT205" s="113"/>
      <c r="DU205" s="112"/>
      <c r="DV205" s="113"/>
      <c r="DW205" s="105"/>
      <c r="DX205" s="146"/>
      <c r="DY205" s="105"/>
      <c r="DZ205" s="105"/>
      <c r="EA205" s="112"/>
      <c r="EB205" s="113"/>
      <c r="EC205" s="105"/>
      <c r="ED205" s="113"/>
      <c r="EE205" s="113"/>
      <c r="EF205" s="105"/>
      <c r="EG205" s="113"/>
      <c r="EH205" s="113"/>
      <c r="EI205" s="112"/>
      <c r="EJ205" s="113"/>
      <c r="EK205" s="105"/>
      <c r="EL205" s="146"/>
      <c r="EM205" s="72" t="s">
        <v>115</v>
      </c>
      <c r="EN205" s="74">
        <v>2250</v>
      </c>
      <c r="EO205" s="73"/>
      <c r="EP205" s="72" t="s">
        <v>77</v>
      </c>
      <c r="EQ205" s="72"/>
      <c r="ER205" s="75"/>
      <c r="ES205" s="76"/>
      <c r="ET205" s="77"/>
      <c r="EU205" s="77"/>
      <c r="EV205" s="78"/>
      <c r="EW205" s="72"/>
      <c r="EX205" s="72"/>
      <c r="EY205" s="72" t="s">
        <v>100</v>
      </c>
      <c r="EZ205" s="72" t="s">
        <v>114</v>
      </c>
      <c r="FA205" s="72"/>
      <c r="FB205" s="78"/>
      <c r="FC205" s="78"/>
      <c r="FD205" s="146"/>
      <c r="FE205" s="78"/>
      <c r="FF205" s="78"/>
      <c r="FG205" s="78"/>
      <c r="FH205" s="78"/>
      <c r="FI205" s="78"/>
      <c r="FJ205" s="78"/>
      <c r="FK205" s="78"/>
      <c r="FL205" s="78"/>
      <c r="FM205" s="78"/>
      <c r="FN205" s="78"/>
      <c r="FO205" s="146"/>
      <c r="FP205" s="78"/>
      <c r="FQ205" s="78"/>
      <c r="FR205" s="78"/>
      <c r="FS205" s="78"/>
      <c r="FT205" s="78"/>
      <c r="FU205" s="78"/>
      <c r="FV205" s="78"/>
      <c r="FW205" s="78"/>
      <c r="FX205" s="78"/>
      <c r="FY205" s="78"/>
    </row>
    <row r="206" spans="1:181" s="71" customFormat="1" ht="16.350000000000001" customHeight="1" x14ac:dyDescent="0.25">
      <c r="A206" s="109"/>
      <c r="B206" s="70"/>
      <c r="C206" s="110"/>
      <c r="D206" s="110"/>
      <c r="E206" s="146"/>
      <c r="F206" s="109" t="str">
        <f>mehrsprachigkeitBegriffsrückgabe(gewählteSpracheZurückgeben(), "Product (foreign language)")</f>
        <v>Produkt (Fremdsprache)</v>
      </c>
      <c r="G206" s="111"/>
      <c r="H206" s="111" t="s">
        <v>291</v>
      </c>
      <c r="I206" s="111" t="s">
        <v>94</v>
      </c>
      <c r="J206" s="111" t="s">
        <v>336</v>
      </c>
      <c r="K206" s="111"/>
      <c r="L206" s="146"/>
      <c r="M206" s="149"/>
      <c r="N206" s="111"/>
      <c r="O206" s="111"/>
      <c r="P206" s="111"/>
      <c r="Q206" s="111"/>
      <c r="R206" s="111"/>
      <c r="S206" s="111"/>
      <c r="T206" s="111"/>
      <c r="U206" s="111"/>
      <c r="V206" s="111"/>
      <c r="W206" s="111"/>
      <c r="X206" s="111"/>
      <c r="Y206" s="111"/>
      <c r="Z206" s="111"/>
      <c r="AA206" s="111"/>
      <c r="AB206" s="111"/>
      <c r="AC206" s="111"/>
      <c r="AD206" s="111"/>
      <c r="AE206" s="111"/>
      <c r="AF206" s="111"/>
      <c r="AG206" s="111"/>
      <c r="AH206" s="111"/>
      <c r="AI206" s="111"/>
      <c r="AJ206" s="111"/>
      <c r="AK206" s="111"/>
      <c r="AL206" s="111"/>
      <c r="AM206" s="111"/>
      <c r="AN206" s="111"/>
      <c r="AO206" s="111"/>
      <c r="AP206" s="111"/>
      <c r="AQ206" s="111"/>
      <c r="AR206" s="111"/>
      <c r="AS206" s="111"/>
      <c r="AT206" s="111"/>
      <c r="AU206" s="111"/>
      <c r="AV206" s="111"/>
      <c r="AW206" s="111"/>
      <c r="AX206" s="111"/>
      <c r="AY206" s="111"/>
      <c r="AZ206" s="111"/>
      <c r="BA206" s="146"/>
      <c r="BB206" s="104" t="s">
        <v>99</v>
      </c>
      <c r="BC206" s="72" t="s">
        <v>95</v>
      </c>
      <c r="BD206" s="72"/>
      <c r="BE206" s="72"/>
      <c r="BF206" s="146"/>
      <c r="BG206" s="112" t="s">
        <v>113</v>
      </c>
      <c r="BH206" s="113"/>
      <c r="BI206" s="146"/>
      <c r="BJ206" s="105"/>
      <c r="BK206" s="113"/>
      <c r="BL206" s="113"/>
      <c r="BM206" s="105"/>
      <c r="BN206" s="113"/>
      <c r="BO206" s="113"/>
      <c r="BP206" s="146"/>
      <c r="BQ206" s="112" t="s">
        <v>113</v>
      </c>
      <c r="BR206" s="113"/>
      <c r="BS206" s="105"/>
      <c r="BT206" s="146"/>
      <c r="BU206" s="105"/>
      <c r="BV206" s="105"/>
      <c r="BW206" s="112"/>
      <c r="BX206" s="113"/>
      <c r="BY206" s="105"/>
      <c r="BZ206" s="113"/>
      <c r="CA206" s="113"/>
      <c r="CB206" s="105"/>
      <c r="CC206" s="113"/>
      <c r="CD206" s="113"/>
      <c r="CE206" s="112"/>
      <c r="CF206" s="113"/>
      <c r="CG206" s="105"/>
      <c r="CH206" s="146"/>
      <c r="CI206" s="105"/>
      <c r="CJ206" s="105"/>
      <c r="CK206" s="112"/>
      <c r="CL206" s="113"/>
      <c r="CM206" s="105"/>
      <c r="CN206" s="113"/>
      <c r="CO206" s="113"/>
      <c r="CP206" s="105"/>
      <c r="CQ206" s="113"/>
      <c r="CR206" s="113"/>
      <c r="CS206" s="112"/>
      <c r="CT206" s="113"/>
      <c r="CU206" s="105"/>
      <c r="CV206" s="146"/>
      <c r="CW206" s="105"/>
      <c r="CX206" s="105"/>
      <c r="CY206" s="112"/>
      <c r="CZ206" s="113"/>
      <c r="DA206" s="105"/>
      <c r="DB206" s="113"/>
      <c r="DC206" s="113"/>
      <c r="DD206" s="105"/>
      <c r="DE206" s="113"/>
      <c r="DF206" s="113"/>
      <c r="DG206" s="112"/>
      <c r="DH206" s="113"/>
      <c r="DI206" s="105"/>
      <c r="DJ206" s="146"/>
      <c r="DK206" s="105"/>
      <c r="DL206" s="105"/>
      <c r="DM206" s="112"/>
      <c r="DN206" s="113"/>
      <c r="DO206" s="105"/>
      <c r="DP206" s="113"/>
      <c r="DQ206" s="113"/>
      <c r="DR206" s="105"/>
      <c r="DS206" s="113"/>
      <c r="DT206" s="113"/>
      <c r="DU206" s="112"/>
      <c r="DV206" s="113"/>
      <c r="DW206" s="105"/>
      <c r="DX206" s="146"/>
      <c r="DY206" s="105"/>
      <c r="DZ206" s="105"/>
      <c r="EA206" s="112"/>
      <c r="EB206" s="113"/>
      <c r="EC206" s="105"/>
      <c r="ED206" s="113"/>
      <c r="EE206" s="113"/>
      <c r="EF206" s="105"/>
      <c r="EG206" s="113"/>
      <c r="EH206" s="113"/>
      <c r="EI206" s="112"/>
      <c r="EJ206" s="113"/>
      <c r="EK206" s="105"/>
      <c r="EL206" s="146"/>
      <c r="EM206" s="72"/>
      <c r="EN206" s="74"/>
      <c r="EO206" s="73"/>
      <c r="EP206" s="72" t="s">
        <v>96</v>
      </c>
      <c r="EQ206" s="72"/>
      <c r="ER206" s="75"/>
      <c r="ES206" s="76"/>
      <c r="ET206" s="77"/>
      <c r="EU206" s="77"/>
      <c r="EV206" s="78"/>
      <c r="EW206" s="72"/>
      <c r="EX206" s="72"/>
      <c r="EY206" s="72"/>
      <c r="EZ206" s="72"/>
      <c r="FA206" s="72"/>
      <c r="FB206" s="78"/>
      <c r="FC206" s="78"/>
      <c r="FD206" s="146"/>
      <c r="FE206" s="78"/>
      <c r="FF206" s="78"/>
      <c r="FG206" s="78"/>
      <c r="FO206" s="146"/>
      <c r="FP206" s="78"/>
      <c r="FQ206" s="78"/>
      <c r="FR206" s="78"/>
    </row>
    <row r="207" spans="1:181" s="71" customFormat="1" ht="16.350000000000001" customHeight="1" x14ac:dyDescent="0.25">
      <c r="A207" s="109"/>
      <c r="B207" s="70"/>
      <c r="C207" s="110"/>
      <c r="D207" s="110">
        <v>1</v>
      </c>
      <c r="E207" s="146"/>
      <c r="F207" s="109" t="str">
        <f>mehrsprachigkeitBegriffsrückgabe(gewählteSpracheZurückgeben(), "Product")</f>
        <v>Produkt</v>
      </c>
      <c r="G207" s="111" t="s">
        <v>292</v>
      </c>
      <c r="H207" s="111"/>
      <c r="I207" s="111" t="s">
        <v>86</v>
      </c>
      <c r="J207" s="111" t="s">
        <v>385</v>
      </c>
      <c r="K207" s="111"/>
      <c r="L207" s="146"/>
      <c r="M207" s="149" t="s">
        <v>392</v>
      </c>
      <c r="N207" s="111" t="s">
        <v>401</v>
      </c>
      <c r="O207" s="114"/>
      <c r="P207" s="114"/>
      <c r="Q207" s="111"/>
      <c r="R207" s="111"/>
      <c r="S207" s="111"/>
      <c r="T207" s="111"/>
      <c r="U207" s="111"/>
      <c r="V207" s="111"/>
      <c r="W207" s="111"/>
      <c r="X207" s="111"/>
      <c r="Y207" s="111"/>
      <c r="Z207" s="111"/>
      <c r="AA207" s="111"/>
      <c r="AB207" s="111"/>
      <c r="AC207" s="111"/>
      <c r="AD207" s="111"/>
      <c r="AE207" s="111"/>
      <c r="AF207" s="111"/>
      <c r="AG207" s="111"/>
      <c r="AH207" s="111"/>
      <c r="AI207" s="111"/>
      <c r="AJ207" s="111"/>
      <c r="AK207" s="111"/>
      <c r="AL207" s="111"/>
      <c r="AM207" s="111"/>
      <c r="AN207" s="111"/>
      <c r="AO207" s="111"/>
      <c r="AP207" s="111"/>
      <c r="AQ207" s="111"/>
      <c r="AR207" s="111"/>
      <c r="AS207" s="111"/>
      <c r="AT207" s="111"/>
      <c r="AU207" s="111"/>
      <c r="AV207" s="111"/>
      <c r="AW207" s="111"/>
      <c r="AX207" s="111"/>
      <c r="AY207" s="111"/>
      <c r="AZ207" s="111"/>
      <c r="BA207" s="146"/>
      <c r="BB207" s="104" t="s">
        <v>98</v>
      </c>
      <c r="BC207" s="72" t="s">
        <v>93</v>
      </c>
      <c r="BD207" s="72" t="s">
        <v>508</v>
      </c>
      <c r="BE207" s="72" t="s">
        <v>412</v>
      </c>
      <c r="BF207" s="146"/>
      <c r="BG207" s="112">
        <v>59.9</v>
      </c>
      <c r="BH207" s="113"/>
      <c r="BI207" s="146"/>
      <c r="BJ207" s="105"/>
      <c r="BK207" s="113"/>
      <c r="BL207" s="113"/>
      <c r="BM207" s="105"/>
      <c r="BN207" s="113"/>
      <c r="BO207" s="152"/>
      <c r="BP207" s="146"/>
      <c r="BQ207" s="112" t="s">
        <v>113</v>
      </c>
      <c r="BR207" s="113"/>
      <c r="BS207" s="105"/>
      <c r="BT207" s="146"/>
      <c r="BU207" s="105"/>
      <c r="BV207" s="105"/>
      <c r="BW207" s="112"/>
      <c r="BX207" s="113"/>
      <c r="BY207" s="105"/>
      <c r="BZ207" s="113"/>
      <c r="CA207" s="113"/>
      <c r="CB207" s="105"/>
      <c r="CC207" s="113"/>
      <c r="CD207" s="152"/>
      <c r="CE207" s="112"/>
      <c r="CF207" s="113"/>
      <c r="CG207" s="105"/>
      <c r="CH207" s="146"/>
      <c r="CI207" s="105"/>
      <c r="CJ207" s="105"/>
      <c r="CK207" s="112"/>
      <c r="CL207" s="113"/>
      <c r="CM207" s="105"/>
      <c r="CN207" s="152"/>
      <c r="CO207" s="152"/>
      <c r="CP207" s="105"/>
      <c r="CQ207" s="113"/>
      <c r="CR207" s="152"/>
      <c r="CS207" s="112"/>
      <c r="CT207" s="113"/>
      <c r="CU207" s="105"/>
      <c r="CV207" s="146"/>
      <c r="CW207" s="105"/>
      <c r="CX207" s="105"/>
      <c r="CY207" s="112"/>
      <c r="CZ207" s="113"/>
      <c r="DA207" s="105"/>
      <c r="DB207" s="113"/>
      <c r="DC207" s="113"/>
      <c r="DD207" s="105"/>
      <c r="DE207" s="113"/>
      <c r="DF207" s="113"/>
      <c r="DG207" s="112"/>
      <c r="DH207" s="113"/>
      <c r="DI207" s="105"/>
      <c r="DJ207" s="146"/>
      <c r="DK207" s="105"/>
      <c r="DL207" s="105"/>
      <c r="DM207" s="112"/>
      <c r="DN207" s="113"/>
      <c r="DO207" s="105"/>
      <c r="DP207" s="113"/>
      <c r="DQ207" s="113"/>
      <c r="DR207" s="105"/>
      <c r="DS207" s="113"/>
      <c r="DT207" s="113"/>
      <c r="DU207" s="112"/>
      <c r="DV207" s="113"/>
      <c r="DW207" s="105"/>
      <c r="DX207" s="146"/>
      <c r="DY207" s="105"/>
      <c r="DZ207" s="105"/>
      <c r="EA207" s="112"/>
      <c r="EB207" s="113"/>
      <c r="EC207" s="105"/>
      <c r="ED207" s="113"/>
      <c r="EE207" s="113"/>
      <c r="EF207" s="105"/>
      <c r="EG207" s="113"/>
      <c r="EH207" s="113"/>
      <c r="EI207" s="112"/>
      <c r="EJ207" s="113"/>
      <c r="EK207" s="105"/>
      <c r="EL207" s="146"/>
      <c r="EM207" s="72" t="s">
        <v>115</v>
      </c>
      <c r="EN207" s="74">
        <v>2250</v>
      </c>
      <c r="EO207" s="73"/>
      <c r="EP207" s="72" t="s">
        <v>77</v>
      </c>
      <c r="EQ207" s="72"/>
      <c r="ER207" s="75"/>
      <c r="ES207" s="76"/>
      <c r="ET207" s="77">
        <v>1</v>
      </c>
      <c r="EU207" s="77"/>
      <c r="EV207" s="78"/>
      <c r="EW207" s="72"/>
      <c r="EX207" s="72"/>
      <c r="EY207" s="72" t="s">
        <v>100</v>
      </c>
      <c r="EZ207" s="72" t="s">
        <v>114</v>
      </c>
      <c r="FA207" s="72"/>
      <c r="FB207" s="78"/>
      <c r="FC207" s="78"/>
      <c r="FD207" s="146"/>
      <c r="FE207" s="78"/>
      <c r="FF207" s="78"/>
      <c r="FG207" s="78"/>
      <c r="FH207" s="78"/>
      <c r="FI207" s="78"/>
      <c r="FJ207" s="78"/>
      <c r="FK207" s="78"/>
      <c r="FL207" s="78"/>
      <c r="FM207" s="78"/>
      <c r="FN207" s="78"/>
      <c r="FO207" s="146"/>
      <c r="FP207" s="78"/>
      <c r="FQ207" s="78"/>
      <c r="FR207" s="78"/>
      <c r="FS207" s="78"/>
      <c r="FT207" s="78"/>
      <c r="FU207" s="78"/>
      <c r="FV207" s="78"/>
      <c r="FW207" s="78"/>
      <c r="FX207" s="78"/>
      <c r="FY207" s="78"/>
    </row>
    <row r="208" spans="1:181" s="71" customFormat="1" ht="16.350000000000001" customHeight="1" x14ac:dyDescent="0.25">
      <c r="A208" s="109"/>
      <c r="B208" s="70"/>
      <c r="C208" s="110"/>
      <c r="D208" s="110"/>
      <c r="E208" s="146"/>
      <c r="F208" s="109" t="str">
        <f>mehrsprachigkeitBegriffsrückgabe(gewählteSpracheZurückgeben(), "Product (foreign language)")</f>
        <v>Produkt (Fremdsprache)</v>
      </c>
      <c r="G208" s="111"/>
      <c r="H208" s="111" t="s">
        <v>292</v>
      </c>
      <c r="I208" s="111" t="s">
        <v>94</v>
      </c>
      <c r="J208" s="111" t="s">
        <v>337</v>
      </c>
      <c r="K208" s="111"/>
      <c r="L208" s="146"/>
      <c r="M208" s="149"/>
      <c r="N208" s="111"/>
      <c r="O208" s="111"/>
      <c r="P208" s="111"/>
      <c r="Q208" s="111"/>
      <c r="R208" s="111"/>
      <c r="S208" s="111"/>
      <c r="T208" s="111"/>
      <c r="U208" s="111"/>
      <c r="V208" s="111"/>
      <c r="W208" s="111"/>
      <c r="X208" s="111"/>
      <c r="Y208" s="111"/>
      <c r="Z208" s="111"/>
      <c r="AA208" s="111"/>
      <c r="AB208" s="111"/>
      <c r="AC208" s="111"/>
      <c r="AD208" s="111"/>
      <c r="AE208" s="111"/>
      <c r="AF208" s="111"/>
      <c r="AG208" s="111"/>
      <c r="AH208" s="111"/>
      <c r="AI208" s="111"/>
      <c r="AJ208" s="111"/>
      <c r="AK208" s="111"/>
      <c r="AL208" s="111"/>
      <c r="AM208" s="111"/>
      <c r="AN208" s="111"/>
      <c r="AO208" s="111"/>
      <c r="AP208" s="111"/>
      <c r="AQ208" s="111"/>
      <c r="AR208" s="111"/>
      <c r="AS208" s="111"/>
      <c r="AT208" s="111"/>
      <c r="AU208" s="111"/>
      <c r="AV208" s="111"/>
      <c r="AW208" s="111"/>
      <c r="AX208" s="111"/>
      <c r="AY208" s="111"/>
      <c r="AZ208" s="111"/>
      <c r="BA208" s="146"/>
      <c r="BB208" s="104" t="s">
        <v>99</v>
      </c>
      <c r="BC208" s="72" t="s">
        <v>95</v>
      </c>
      <c r="BD208" s="72"/>
      <c r="BE208" s="72"/>
      <c r="BF208" s="146"/>
      <c r="BG208" s="112" t="s">
        <v>113</v>
      </c>
      <c r="BH208" s="113"/>
      <c r="BI208" s="146"/>
      <c r="BJ208" s="105"/>
      <c r="BK208" s="113"/>
      <c r="BL208" s="113"/>
      <c r="BM208" s="105"/>
      <c r="BN208" s="113"/>
      <c r="BO208" s="113"/>
      <c r="BP208" s="146"/>
      <c r="BQ208" s="112" t="s">
        <v>113</v>
      </c>
      <c r="BR208" s="113"/>
      <c r="BS208" s="105"/>
      <c r="BT208" s="146"/>
      <c r="BU208" s="105"/>
      <c r="BV208" s="105"/>
      <c r="BW208" s="112"/>
      <c r="BX208" s="113"/>
      <c r="BY208" s="105"/>
      <c r="BZ208" s="113"/>
      <c r="CA208" s="113"/>
      <c r="CB208" s="105"/>
      <c r="CC208" s="113"/>
      <c r="CD208" s="113"/>
      <c r="CE208" s="112"/>
      <c r="CF208" s="113"/>
      <c r="CG208" s="105"/>
      <c r="CH208" s="146"/>
      <c r="CI208" s="105"/>
      <c r="CJ208" s="105"/>
      <c r="CK208" s="112"/>
      <c r="CL208" s="113"/>
      <c r="CM208" s="105"/>
      <c r="CN208" s="113"/>
      <c r="CO208" s="113"/>
      <c r="CP208" s="105"/>
      <c r="CQ208" s="113"/>
      <c r="CR208" s="113"/>
      <c r="CS208" s="112"/>
      <c r="CT208" s="113"/>
      <c r="CU208" s="105"/>
      <c r="CV208" s="146"/>
      <c r="CW208" s="105"/>
      <c r="CX208" s="105"/>
      <c r="CY208" s="112"/>
      <c r="CZ208" s="113"/>
      <c r="DA208" s="105"/>
      <c r="DB208" s="113"/>
      <c r="DC208" s="113"/>
      <c r="DD208" s="105"/>
      <c r="DE208" s="113"/>
      <c r="DF208" s="113"/>
      <c r="DG208" s="112"/>
      <c r="DH208" s="113"/>
      <c r="DI208" s="105"/>
      <c r="DJ208" s="146"/>
      <c r="DK208" s="105"/>
      <c r="DL208" s="105"/>
      <c r="DM208" s="112"/>
      <c r="DN208" s="113"/>
      <c r="DO208" s="105"/>
      <c r="DP208" s="113"/>
      <c r="DQ208" s="113"/>
      <c r="DR208" s="105"/>
      <c r="DS208" s="113"/>
      <c r="DT208" s="113"/>
      <c r="DU208" s="112"/>
      <c r="DV208" s="113"/>
      <c r="DW208" s="105"/>
      <c r="DX208" s="146"/>
      <c r="DY208" s="105"/>
      <c r="DZ208" s="105"/>
      <c r="EA208" s="112"/>
      <c r="EB208" s="113"/>
      <c r="EC208" s="105"/>
      <c r="ED208" s="113"/>
      <c r="EE208" s="113"/>
      <c r="EF208" s="105"/>
      <c r="EG208" s="113"/>
      <c r="EH208" s="113"/>
      <c r="EI208" s="112"/>
      <c r="EJ208" s="113"/>
      <c r="EK208" s="105"/>
      <c r="EL208" s="146"/>
      <c r="EM208" s="72"/>
      <c r="EN208" s="74"/>
      <c r="EO208" s="73"/>
      <c r="EP208" s="72" t="s">
        <v>96</v>
      </c>
      <c r="EQ208" s="72"/>
      <c r="ER208" s="75"/>
      <c r="ES208" s="76"/>
      <c r="ET208" s="77"/>
      <c r="EU208" s="77"/>
      <c r="EV208" s="78"/>
      <c r="EW208" s="72"/>
      <c r="EX208" s="72"/>
      <c r="EY208" s="72"/>
      <c r="EZ208" s="72"/>
      <c r="FA208" s="72"/>
      <c r="FB208" s="78"/>
      <c r="FC208" s="78"/>
      <c r="FD208" s="146"/>
      <c r="FE208" s="78"/>
      <c r="FF208" s="78"/>
      <c r="FG208" s="78"/>
      <c r="FO208" s="146"/>
      <c r="FP208" s="78"/>
      <c r="FQ208" s="78"/>
      <c r="FR208" s="78"/>
    </row>
    <row r="209" spans="1:181" s="71" customFormat="1" ht="16.350000000000001" customHeight="1" x14ac:dyDescent="0.25">
      <c r="A209" s="109"/>
      <c r="B209" s="70"/>
      <c r="C209" s="110"/>
      <c r="D209" s="110">
        <v>1</v>
      </c>
      <c r="E209" s="146"/>
      <c r="F209" s="109" t="str">
        <f>mehrsprachigkeitBegriffsrückgabe(gewählteSpracheZurückgeben(), "Product")</f>
        <v>Produkt</v>
      </c>
      <c r="G209" s="111" t="s">
        <v>293</v>
      </c>
      <c r="H209" s="111"/>
      <c r="I209" s="111" t="s">
        <v>86</v>
      </c>
      <c r="J209" s="111" t="s">
        <v>386</v>
      </c>
      <c r="K209" s="111"/>
      <c r="L209" s="146"/>
      <c r="M209" s="149" t="s">
        <v>392</v>
      </c>
      <c r="N209" s="111" t="s">
        <v>399</v>
      </c>
      <c r="O209" s="114"/>
      <c r="P209" s="114"/>
      <c r="Q209" s="111"/>
      <c r="R209" s="111"/>
      <c r="S209" s="111"/>
      <c r="T209" s="111"/>
      <c r="U209" s="111"/>
      <c r="V209" s="111"/>
      <c r="W209" s="111"/>
      <c r="X209" s="111"/>
      <c r="Y209" s="111"/>
      <c r="Z209" s="111"/>
      <c r="AA209" s="111"/>
      <c r="AB209" s="111"/>
      <c r="AC209" s="111"/>
      <c r="AD209" s="111"/>
      <c r="AE209" s="111"/>
      <c r="AF209" s="111"/>
      <c r="AG209" s="111"/>
      <c r="AH209" s="111"/>
      <c r="AI209" s="111"/>
      <c r="AJ209" s="111"/>
      <c r="AK209" s="111"/>
      <c r="AL209" s="111"/>
      <c r="AM209" s="111"/>
      <c r="AN209" s="111"/>
      <c r="AO209" s="111"/>
      <c r="AP209" s="111"/>
      <c r="AQ209" s="111"/>
      <c r="AR209" s="111"/>
      <c r="AS209" s="111"/>
      <c r="AT209" s="111"/>
      <c r="AU209" s="111"/>
      <c r="AV209" s="111"/>
      <c r="AW209" s="111"/>
      <c r="AX209" s="111"/>
      <c r="AY209" s="111"/>
      <c r="AZ209" s="111"/>
      <c r="BA209" s="146"/>
      <c r="BB209" s="104" t="s">
        <v>98</v>
      </c>
      <c r="BC209" s="72" t="s">
        <v>93</v>
      </c>
      <c r="BD209" s="72" t="s">
        <v>508</v>
      </c>
      <c r="BE209" s="72" t="s">
        <v>416</v>
      </c>
      <c r="BF209" s="146"/>
      <c r="BG209" s="112">
        <v>69.900000000000006</v>
      </c>
      <c r="BH209" s="113"/>
      <c r="BI209" s="146"/>
      <c r="BJ209" s="105"/>
      <c r="BK209" s="113"/>
      <c r="BL209" s="113"/>
      <c r="BM209" s="105"/>
      <c r="BN209" s="113"/>
      <c r="BO209" s="152"/>
      <c r="BP209" s="146"/>
      <c r="BQ209" s="112">
        <v>89.9</v>
      </c>
      <c r="BR209" s="113"/>
      <c r="BS209" s="105">
        <v>1</v>
      </c>
      <c r="BT209" s="146"/>
      <c r="BU209" s="105"/>
      <c r="BV209" s="105"/>
      <c r="BW209" s="112"/>
      <c r="BX209" s="113"/>
      <c r="BY209" s="105"/>
      <c r="BZ209" s="113"/>
      <c r="CA209" s="113"/>
      <c r="CB209" s="105"/>
      <c r="CC209" s="113"/>
      <c r="CD209" s="152"/>
      <c r="CE209" s="112"/>
      <c r="CF209" s="113"/>
      <c r="CG209" s="105"/>
      <c r="CH209" s="146"/>
      <c r="CI209" s="105"/>
      <c r="CJ209" s="105"/>
      <c r="CK209" s="112"/>
      <c r="CL209" s="113"/>
      <c r="CM209" s="105"/>
      <c r="CN209" s="152"/>
      <c r="CO209" s="152"/>
      <c r="CP209" s="105"/>
      <c r="CQ209" s="113"/>
      <c r="CR209" s="152"/>
      <c r="CS209" s="112"/>
      <c r="CT209" s="113"/>
      <c r="CU209" s="105"/>
      <c r="CV209" s="146"/>
      <c r="CW209" s="105"/>
      <c r="CX209" s="105"/>
      <c r="CY209" s="112"/>
      <c r="CZ209" s="113"/>
      <c r="DA209" s="105"/>
      <c r="DB209" s="113"/>
      <c r="DC209" s="113"/>
      <c r="DD209" s="105"/>
      <c r="DE209" s="113"/>
      <c r="DF209" s="113"/>
      <c r="DG209" s="112"/>
      <c r="DH209" s="113"/>
      <c r="DI209" s="105"/>
      <c r="DJ209" s="146"/>
      <c r="DK209" s="105"/>
      <c r="DL209" s="105"/>
      <c r="DM209" s="112"/>
      <c r="DN209" s="113"/>
      <c r="DO209" s="105"/>
      <c r="DP209" s="113"/>
      <c r="DQ209" s="113"/>
      <c r="DR209" s="105"/>
      <c r="DS209" s="113"/>
      <c r="DT209" s="113"/>
      <c r="DU209" s="112"/>
      <c r="DV209" s="113"/>
      <c r="DW209" s="105"/>
      <c r="DX209" s="146"/>
      <c r="DY209" s="105"/>
      <c r="DZ209" s="105"/>
      <c r="EA209" s="112"/>
      <c r="EB209" s="113"/>
      <c r="EC209" s="105"/>
      <c r="ED209" s="113"/>
      <c r="EE209" s="113"/>
      <c r="EF209" s="105"/>
      <c r="EG209" s="113"/>
      <c r="EH209" s="113"/>
      <c r="EI209" s="112"/>
      <c r="EJ209" s="113"/>
      <c r="EK209" s="105"/>
      <c r="EL209" s="146"/>
      <c r="EM209" s="72" t="s">
        <v>115</v>
      </c>
      <c r="EN209" s="74">
        <v>2250</v>
      </c>
      <c r="EO209" s="73"/>
      <c r="EP209" s="72" t="s">
        <v>77</v>
      </c>
      <c r="EQ209" s="72"/>
      <c r="ER209" s="75"/>
      <c r="ES209" s="76"/>
      <c r="ET209" s="77"/>
      <c r="EU209" s="77">
        <v>1</v>
      </c>
      <c r="EV209" s="78"/>
      <c r="EW209" s="72"/>
      <c r="EX209" s="72"/>
      <c r="EY209" s="72" t="s">
        <v>100</v>
      </c>
      <c r="EZ209" s="72" t="s">
        <v>114</v>
      </c>
      <c r="FA209" s="72"/>
      <c r="FB209" s="78"/>
      <c r="FC209" s="78"/>
      <c r="FD209" s="146"/>
      <c r="FE209" s="78"/>
      <c r="FF209" s="78"/>
      <c r="FG209" s="78"/>
      <c r="FH209" s="78"/>
      <c r="FI209" s="78"/>
      <c r="FJ209" s="78"/>
      <c r="FK209" s="78"/>
      <c r="FL209" s="78"/>
      <c r="FM209" s="78"/>
      <c r="FN209" s="78"/>
      <c r="FO209" s="146"/>
      <c r="FP209" s="78"/>
      <c r="FQ209" s="78"/>
      <c r="FR209" s="78"/>
      <c r="FS209" s="78"/>
      <c r="FT209" s="78"/>
      <c r="FU209" s="78"/>
      <c r="FV209" s="78"/>
      <c r="FW209" s="78"/>
      <c r="FX209" s="78"/>
      <c r="FY209" s="78"/>
    </row>
    <row r="210" spans="1:181" s="71" customFormat="1" ht="16.350000000000001" customHeight="1" x14ac:dyDescent="0.25">
      <c r="A210" s="109"/>
      <c r="B210" s="70"/>
      <c r="C210" s="110"/>
      <c r="D210" s="110"/>
      <c r="E210" s="146"/>
      <c r="F210" s="109" t="str">
        <f>mehrsprachigkeitBegriffsrückgabe(gewählteSpracheZurückgeben(), "Product (foreign language)")</f>
        <v>Produkt (Fremdsprache)</v>
      </c>
      <c r="G210" s="111"/>
      <c r="H210" s="111" t="s">
        <v>293</v>
      </c>
      <c r="I210" s="111" t="s">
        <v>94</v>
      </c>
      <c r="J210" s="111" t="s">
        <v>338</v>
      </c>
      <c r="K210" s="111"/>
      <c r="L210" s="146"/>
      <c r="M210" s="149"/>
      <c r="N210" s="111"/>
      <c r="O210" s="111"/>
      <c r="P210" s="111"/>
      <c r="Q210" s="111"/>
      <c r="R210" s="111"/>
      <c r="S210" s="111"/>
      <c r="T210" s="111"/>
      <c r="U210" s="111"/>
      <c r="V210" s="111"/>
      <c r="W210" s="111"/>
      <c r="X210" s="111"/>
      <c r="Y210" s="111"/>
      <c r="Z210" s="111"/>
      <c r="AA210" s="111"/>
      <c r="AB210" s="111"/>
      <c r="AC210" s="111"/>
      <c r="AD210" s="111"/>
      <c r="AE210" s="111"/>
      <c r="AF210" s="111"/>
      <c r="AG210" s="111"/>
      <c r="AH210" s="111"/>
      <c r="AI210" s="111"/>
      <c r="AJ210" s="111"/>
      <c r="AK210" s="111"/>
      <c r="AL210" s="111"/>
      <c r="AM210" s="111"/>
      <c r="AN210" s="111"/>
      <c r="AO210" s="111"/>
      <c r="AP210" s="111"/>
      <c r="AQ210" s="111"/>
      <c r="AR210" s="111"/>
      <c r="AS210" s="111"/>
      <c r="AT210" s="111"/>
      <c r="AU210" s="111"/>
      <c r="AV210" s="111"/>
      <c r="AW210" s="111"/>
      <c r="AX210" s="111"/>
      <c r="AY210" s="111"/>
      <c r="AZ210" s="111"/>
      <c r="BA210" s="146"/>
      <c r="BB210" s="104" t="s">
        <v>99</v>
      </c>
      <c r="BC210" s="72" t="s">
        <v>95</v>
      </c>
      <c r="BD210" s="72"/>
      <c r="BE210" s="72"/>
      <c r="BF210" s="146"/>
      <c r="BG210" s="112" t="s">
        <v>113</v>
      </c>
      <c r="BH210" s="113"/>
      <c r="BI210" s="146"/>
      <c r="BJ210" s="105"/>
      <c r="BK210" s="113"/>
      <c r="BL210" s="113"/>
      <c r="BM210" s="105"/>
      <c r="BN210" s="113"/>
      <c r="BO210" s="113"/>
      <c r="BP210" s="146"/>
      <c r="BQ210" s="112" t="s">
        <v>113</v>
      </c>
      <c r="BR210" s="113"/>
      <c r="BS210" s="105"/>
      <c r="BT210" s="146"/>
      <c r="BU210" s="105"/>
      <c r="BV210" s="105"/>
      <c r="BW210" s="112"/>
      <c r="BX210" s="113"/>
      <c r="BY210" s="105"/>
      <c r="BZ210" s="113"/>
      <c r="CA210" s="113"/>
      <c r="CB210" s="105"/>
      <c r="CC210" s="113"/>
      <c r="CD210" s="113"/>
      <c r="CE210" s="112"/>
      <c r="CF210" s="113"/>
      <c r="CG210" s="105"/>
      <c r="CH210" s="146"/>
      <c r="CI210" s="105"/>
      <c r="CJ210" s="105"/>
      <c r="CK210" s="112"/>
      <c r="CL210" s="113"/>
      <c r="CM210" s="105"/>
      <c r="CN210" s="113"/>
      <c r="CO210" s="113"/>
      <c r="CP210" s="105"/>
      <c r="CQ210" s="113"/>
      <c r="CR210" s="113"/>
      <c r="CS210" s="112"/>
      <c r="CT210" s="113"/>
      <c r="CU210" s="105"/>
      <c r="CV210" s="146"/>
      <c r="CW210" s="105"/>
      <c r="CX210" s="105"/>
      <c r="CY210" s="112"/>
      <c r="CZ210" s="113"/>
      <c r="DA210" s="105"/>
      <c r="DB210" s="113"/>
      <c r="DC210" s="113"/>
      <c r="DD210" s="105"/>
      <c r="DE210" s="113"/>
      <c r="DF210" s="113"/>
      <c r="DG210" s="112"/>
      <c r="DH210" s="113"/>
      <c r="DI210" s="105"/>
      <c r="DJ210" s="146"/>
      <c r="DK210" s="105"/>
      <c r="DL210" s="105"/>
      <c r="DM210" s="112"/>
      <c r="DN210" s="113"/>
      <c r="DO210" s="105"/>
      <c r="DP210" s="113"/>
      <c r="DQ210" s="113"/>
      <c r="DR210" s="105"/>
      <c r="DS210" s="113"/>
      <c r="DT210" s="113"/>
      <c r="DU210" s="112"/>
      <c r="DV210" s="113"/>
      <c r="DW210" s="105"/>
      <c r="DX210" s="146"/>
      <c r="DY210" s="105"/>
      <c r="DZ210" s="105"/>
      <c r="EA210" s="112"/>
      <c r="EB210" s="113"/>
      <c r="EC210" s="105"/>
      <c r="ED210" s="113"/>
      <c r="EE210" s="113"/>
      <c r="EF210" s="105"/>
      <c r="EG210" s="113"/>
      <c r="EH210" s="113"/>
      <c r="EI210" s="112"/>
      <c r="EJ210" s="113"/>
      <c r="EK210" s="105"/>
      <c r="EL210" s="146"/>
      <c r="EM210" s="72"/>
      <c r="EN210" s="74"/>
      <c r="EO210" s="73"/>
      <c r="EP210" s="72" t="s">
        <v>96</v>
      </c>
      <c r="EQ210" s="72"/>
      <c r="ER210" s="75"/>
      <c r="ES210" s="76"/>
      <c r="ET210" s="77"/>
      <c r="EU210" s="77"/>
      <c r="EV210" s="78"/>
      <c r="EW210" s="72"/>
      <c r="EX210" s="72"/>
      <c r="EY210" s="72"/>
      <c r="EZ210" s="72"/>
      <c r="FA210" s="72"/>
      <c r="FB210" s="78"/>
      <c r="FC210" s="78"/>
      <c r="FD210" s="146"/>
      <c r="FE210" s="78"/>
      <c r="FF210" s="78"/>
      <c r="FG210" s="78"/>
      <c r="FO210" s="146"/>
      <c r="FP210" s="78"/>
      <c r="FQ210" s="78"/>
      <c r="FR210" s="78"/>
    </row>
    <row r="211" spans="1:181" s="71" customFormat="1" ht="16.350000000000001" customHeight="1" x14ac:dyDescent="0.25">
      <c r="A211" s="109"/>
      <c r="B211" s="70"/>
      <c r="C211" s="110"/>
      <c r="D211" s="110">
        <v>1</v>
      </c>
      <c r="E211" s="146"/>
      <c r="F211" s="109" t="str">
        <f>mehrsprachigkeitBegriffsrückgabe(gewählteSpracheZurückgeben(), "Product")</f>
        <v>Produkt</v>
      </c>
      <c r="G211" s="111" t="s">
        <v>294</v>
      </c>
      <c r="H211" s="111"/>
      <c r="I211" s="111" t="s">
        <v>86</v>
      </c>
      <c r="J211" s="111" t="s">
        <v>387</v>
      </c>
      <c r="K211" s="111"/>
      <c r="L211" s="146"/>
      <c r="M211" s="149" t="s">
        <v>392</v>
      </c>
      <c r="N211" s="111" t="s">
        <v>396</v>
      </c>
      <c r="O211" s="114"/>
      <c r="P211" s="114"/>
      <c r="Q211" s="111"/>
      <c r="R211" s="111"/>
      <c r="S211" s="111"/>
      <c r="T211" s="111"/>
      <c r="U211" s="111"/>
      <c r="V211" s="111"/>
      <c r="W211" s="111"/>
      <c r="X211" s="111"/>
      <c r="Y211" s="111"/>
      <c r="Z211" s="111"/>
      <c r="AA211" s="111"/>
      <c r="AB211" s="111"/>
      <c r="AC211" s="111"/>
      <c r="AD211" s="111"/>
      <c r="AE211" s="111"/>
      <c r="AF211" s="111"/>
      <c r="AG211" s="111"/>
      <c r="AH211" s="111"/>
      <c r="AI211" s="111"/>
      <c r="AJ211" s="111"/>
      <c r="AK211" s="111"/>
      <c r="AL211" s="111"/>
      <c r="AM211" s="111"/>
      <c r="AN211" s="111"/>
      <c r="AO211" s="111"/>
      <c r="AP211" s="111"/>
      <c r="AQ211" s="111"/>
      <c r="AR211" s="111"/>
      <c r="AS211" s="111"/>
      <c r="AT211" s="111"/>
      <c r="AU211" s="111"/>
      <c r="AV211" s="111"/>
      <c r="AW211" s="111"/>
      <c r="AX211" s="111"/>
      <c r="AY211" s="111"/>
      <c r="AZ211" s="111"/>
      <c r="BA211" s="146"/>
      <c r="BB211" s="104" t="s">
        <v>98</v>
      </c>
      <c r="BC211" s="72" t="s">
        <v>93</v>
      </c>
      <c r="BD211" s="72" t="s">
        <v>508</v>
      </c>
      <c r="BE211" s="72" t="s">
        <v>417</v>
      </c>
      <c r="BF211" s="146"/>
      <c r="BG211" s="112">
        <v>79.900000000000006</v>
      </c>
      <c r="BH211" s="113"/>
      <c r="BI211" s="146"/>
      <c r="BJ211" s="105"/>
      <c r="BK211" s="113"/>
      <c r="BL211" s="113"/>
      <c r="BM211" s="105"/>
      <c r="BN211" s="113"/>
      <c r="BO211" s="152"/>
      <c r="BP211" s="146"/>
      <c r="BQ211" s="112" t="s">
        <v>113</v>
      </c>
      <c r="BR211" s="113"/>
      <c r="BS211" s="105"/>
      <c r="BT211" s="146"/>
      <c r="BU211" s="105"/>
      <c r="BV211" s="105"/>
      <c r="BW211" s="112"/>
      <c r="BX211" s="113"/>
      <c r="BY211" s="105"/>
      <c r="BZ211" s="113"/>
      <c r="CA211" s="113"/>
      <c r="CB211" s="105"/>
      <c r="CC211" s="113"/>
      <c r="CD211" s="152"/>
      <c r="CE211" s="112"/>
      <c r="CF211" s="113"/>
      <c r="CG211" s="105"/>
      <c r="CH211" s="146"/>
      <c r="CI211" s="105"/>
      <c r="CJ211" s="105"/>
      <c r="CK211" s="112"/>
      <c r="CL211" s="113"/>
      <c r="CM211" s="105"/>
      <c r="CN211" s="152"/>
      <c r="CO211" s="152"/>
      <c r="CP211" s="105"/>
      <c r="CQ211" s="113"/>
      <c r="CR211" s="152"/>
      <c r="CS211" s="112"/>
      <c r="CT211" s="113"/>
      <c r="CU211" s="105"/>
      <c r="CV211" s="146"/>
      <c r="CW211" s="105"/>
      <c r="CX211" s="105"/>
      <c r="CY211" s="112"/>
      <c r="CZ211" s="113"/>
      <c r="DA211" s="105"/>
      <c r="DB211" s="113"/>
      <c r="DC211" s="113"/>
      <c r="DD211" s="105"/>
      <c r="DE211" s="113"/>
      <c r="DF211" s="113"/>
      <c r="DG211" s="112"/>
      <c r="DH211" s="113"/>
      <c r="DI211" s="105"/>
      <c r="DJ211" s="146"/>
      <c r="DK211" s="105"/>
      <c r="DL211" s="105"/>
      <c r="DM211" s="112"/>
      <c r="DN211" s="113"/>
      <c r="DO211" s="105"/>
      <c r="DP211" s="113"/>
      <c r="DQ211" s="113"/>
      <c r="DR211" s="105"/>
      <c r="DS211" s="113"/>
      <c r="DT211" s="113"/>
      <c r="DU211" s="112"/>
      <c r="DV211" s="113"/>
      <c r="DW211" s="105"/>
      <c r="DX211" s="146"/>
      <c r="DY211" s="105"/>
      <c r="DZ211" s="105"/>
      <c r="EA211" s="112"/>
      <c r="EB211" s="113"/>
      <c r="EC211" s="105"/>
      <c r="ED211" s="113"/>
      <c r="EE211" s="113"/>
      <c r="EF211" s="105"/>
      <c r="EG211" s="113"/>
      <c r="EH211" s="113"/>
      <c r="EI211" s="112"/>
      <c r="EJ211" s="113"/>
      <c r="EK211" s="105"/>
      <c r="EL211" s="146"/>
      <c r="EM211" s="72" t="s">
        <v>115</v>
      </c>
      <c r="EN211" s="74">
        <v>2250</v>
      </c>
      <c r="EO211" s="73"/>
      <c r="EP211" s="72" t="s">
        <v>77</v>
      </c>
      <c r="EQ211" s="72"/>
      <c r="ER211" s="75"/>
      <c r="ES211" s="76"/>
      <c r="ET211" s="77"/>
      <c r="EU211" s="77"/>
      <c r="EV211" s="78"/>
      <c r="EW211" s="72"/>
      <c r="EX211" s="72"/>
      <c r="EY211" s="72" t="s">
        <v>100</v>
      </c>
      <c r="EZ211" s="72" t="s">
        <v>114</v>
      </c>
      <c r="FA211" s="72"/>
      <c r="FB211" s="78"/>
      <c r="FC211" s="78"/>
      <c r="FD211" s="146"/>
      <c r="FE211" s="78"/>
      <c r="FF211" s="78"/>
      <c r="FG211" s="78"/>
      <c r="FH211" s="78"/>
      <c r="FI211" s="78"/>
      <c r="FJ211" s="78"/>
      <c r="FK211" s="78"/>
      <c r="FL211" s="78"/>
      <c r="FM211" s="78"/>
      <c r="FN211" s="78"/>
      <c r="FO211" s="146"/>
      <c r="FP211" s="78"/>
      <c r="FQ211" s="78"/>
      <c r="FR211" s="78"/>
      <c r="FS211" s="78"/>
      <c r="FT211" s="78"/>
      <c r="FU211" s="78"/>
      <c r="FV211" s="78"/>
      <c r="FW211" s="78"/>
      <c r="FX211" s="78"/>
      <c r="FY211" s="78"/>
    </row>
    <row r="212" spans="1:181" s="71" customFormat="1" ht="16.350000000000001" customHeight="1" x14ac:dyDescent="0.25">
      <c r="A212" s="109"/>
      <c r="B212" s="70"/>
      <c r="C212" s="110"/>
      <c r="D212" s="110"/>
      <c r="E212" s="146"/>
      <c r="F212" s="109" t="str">
        <f>mehrsprachigkeitBegriffsrückgabe(gewählteSpracheZurückgeben(), "Product (foreign language)")</f>
        <v>Produkt (Fremdsprache)</v>
      </c>
      <c r="G212" s="111"/>
      <c r="H212" s="111" t="s">
        <v>294</v>
      </c>
      <c r="I212" s="111" t="s">
        <v>94</v>
      </c>
      <c r="J212" s="111" t="s">
        <v>339</v>
      </c>
      <c r="K212" s="111"/>
      <c r="L212" s="146"/>
      <c r="M212" s="149"/>
      <c r="N212" s="111"/>
      <c r="O212" s="111"/>
      <c r="P212" s="111"/>
      <c r="Q212" s="111"/>
      <c r="R212" s="111"/>
      <c r="S212" s="111"/>
      <c r="T212" s="111"/>
      <c r="U212" s="111"/>
      <c r="V212" s="111"/>
      <c r="W212" s="111"/>
      <c r="X212" s="111"/>
      <c r="Y212" s="111"/>
      <c r="Z212" s="111"/>
      <c r="AA212" s="111"/>
      <c r="AB212" s="111"/>
      <c r="AC212" s="111"/>
      <c r="AD212" s="111"/>
      <c r="AE212" s="111"/>
      <c r="AF212" s="111"/>
      <c r="AG212" s="111"/>
      <c r="AH212" s="111"/>
      <c r="AI212" s="111"/>
      <c r="AJ212" s="111"/>
      <c r="AK212" s="111"/>
      <c r="AL212" s="111"/>
      <c r="AM212" s="111"/>
      <c r="AN212" s="111"/>
      <c r="AO212" s="111"/>
      <c r="AP212" s="111"/>
      <c r="AQ212" s="111"/>
      <c r="AR212" s="111"/>
      <c r="AS212" s="111"/>
      <c r="AT212" s="111"/>
      <c r="AU212" s="111"/>
      <c r="AV212" s="111"/>
      <c r="AW212" s="111"/>
      <c r="AX212" s="111"/>
      <c r="AY212" s="111"/>
      <c r="AZ212" s="111"/>
      <c r="BA212" s="146"/>
      <c r="BB212" s="104" t="s">
        <v>99</v>
      </c>
      <c r="BC212" s="72" t="s">
        <v>95</v>
      </c>
      <c r="BD212" s="72"/>
      <c r="BE212" s="72"/>
      <c r="BF212" s="146"/>
      <c r="BG212" s="112" t="s">
        <v>113</v>
      </c>
      <c r="BH212" s="113"/>
      <c r="BI212" s="146"/>
      <c r="BJ212" s="105"/>
      <c r="BK212" s="113"/>
      <c r="BL212" s="113"/>
      <c r="BM212" s="105"/>
      <c r="BN212" s="113"/>
      <c r="BO212" s="113"/>
      <c r="BP212" s="146"/>
      <c r="BQ212" s="112" t="s">
        <v>113</v>
      </c>
      <c r="BR212" s="113"/>
      <c r="BS212" s="105"/>
      <c r="BT212" s="146"/>
      <c r="BU212" s="105"/>
      <c r="BV212" s="105"/>
      <c r="BW212" s="112"/>
      <c r="BX212" s="113"/>
      <c r="BY212" s="105"/>
      <c r="BZ212" s="113"/>
      <c r="CA212" s="113"/>
      <c r="CB212" s="105"/>
      <c r="CC212" s="113"/>
      <c r="CD212" s="113"/>
      <c r="CE212" s="112"/>
      <c r="CF212" s="113"/>
      <c r="CG212" s="105"/>
      <c r="CH212" s="146"/>
      <c r="CI212" s="105"/>
      <c r="CJ212" s="105"/>
      <c r="CK212" s="112"/>
      <c r="CL212" s="113"/>
      <c r="CM212" s="105"/>
      <c r="CN212" s="113"/>
      <c r="CO212" s="113"/>
      <c r="CP212" s="105"/>
      <c r="CQ212" s="113"/>
      <c r="CR212" s="113"/>
      <c r="CS212" s="112"/>
      <c r="CT212" s="113"/>
      <c r="CU212" s="105"/>
      <c r="CV212" s="146"/>
      <c r="CW212" s="105"/>
      <c r="CX212" s="105"/>
      <c r="CY212" s="112"/>
      <c r="CZ212" s="113"/>
      <c r="DA212" s="105"/>
      <c r="DB212" s="113"/>
      <c r="DC212" s="113"/>
      <c r="DD212" s="105"/>
      <c r="DE212" s="113"/>
      <c r="DF212" s="113"/>
      <c r="DG212" s="112"/>
      <c r="DH212" s="113"/>
      <c r="DI212" s="105"/>
      <c r="DJ212" s="146"/>
      <c r="DK212" s="105"/>
      <c r="DL212" s="105"/>
      <c r="DM212" s="112"/>
      <c r="DN212" s="113"/>
      <c r="DO212" s="105"/>
      <c r="DP212" s="113"/>
      <c r="DQ212" s="113"/>
      <c r="DR212" s="105"/>
      <c r="DS212" s="113"/>
      <c r="DT212" s="113"/>
      <c r="DU212" s="112"/>
      <c r="DV212" s="113"/>
      <c r="DW212" s="105"/>
      <c r="DX212" s="146"/>
      <c r="DY212" s="105"/>
      <c r="DZ212" s="105"/>
      <c r="EA212" s="112"/>
      <c r="EB212" s="113"/>
      <c r="EC212" s="105"/>
      <c r="ED212" s="113"/>
      <c r="EE212" s="113"/>
      <c r="EF212" s="105"/>
      <c r="EG212" s="113"/>
      <c r="EH212" s="113"/>
      <c r="EI212" s="112"/>
      <c r="EJ212" s="113"/>
      <c r="EK212" s="105"/>
      <c r="EL212" s="146"/>
      <c r="EM212" s="72"/>
      <c r="EN212" s="74"/>
      <c r="EO212" s="73"/>
      <c r="EP212" s="72" t="s">
        <v>96</v>
      </c>
      <c r="EQ212" s="72"/>
      <c r="ER212" s="75"/>
      <c r="ES212" s="76"/>
      <c r="ET212" s="77"/>
      <c r="EU212" s="77"/>
      <c r="EV212" s="78"/>
      <c r="EW212" s="72"/>
      <c r="EX212" s="72"/>
      <c r="EY212" s="72"/>
      <c r="EZ212" s="72"/>
      <c r="FA212" s="72"/>
      <c r="FB212" s="78"/>
      <c r="FC212" s="78"/>
      <c r="FD212" s="146"/>
      <c r="FE212" s="78"/>
      <c r="FF212" s="78"/>
      <c r="FG212" s="78"/>
      <c r="FO212" s="146"/>
      <c r="FP212" s="78"/>
      <c r="FQ212" s="78"/>
      <c r="FR212" s="78"/>
    </row>
    <row r="213" spans="1:181" s="71" customFormat="1" ht="16.350000000000001" customHeight="1" x14ac:dyDescent="0.25">
      <c r="A213" s="109"/>
      <c r="B213" s="70"/>
      <c r="C213" s="110"/>
      <c r="D213" s="110">
        <v>1</v>
      </c>
      <c r="E213" s="146"/>
      <c r="F213" s="109" t="str">
        <f>mehrsprachigkeitBegriffsrückgabe(gewählteSpracheZurückgeben(), "Product")</f>
        <v>Produkt</v>
      </c>
      <c r="G213" s="111" t="s">
        <v>295</v>
      </c>
      <c r="H213" s="111"/>
      <c r="I213" s="111" t="s">
        <v>86</v>
      </c>
      <c r="J213" s="111" t="s">
        <v>388</v>
      </c>
      <c r="K213" s="111"/>
      <c r="L213" s="146"/>
      <c r="M213" s="149" t="s">
        <v>392</v>
      </c>
      <c r="N213" s="111" t="s">
        <v>396</v>
      </c>
      <c r="O213" s="114"/>
      <c r="P213" s="114"/>
      <c r="Q213" s="111"/>
      <c r="R213" s="111"/>
      <c r="S213" s="111"/>
      <c r="T213" s="111"/>
      <c r="U213" s="111"/>
      <c r="V213" s="111"/>
      <c r="W213" s="111"/>
      <c r="X213" s="111"/>
      <c r="Y213" s="111"/>
      <c r="Z213" s="111"/>
      <c r="AA213" s="111"/>
      <c r="AB213" s="111"/>
      <c r="AC213" s="111"/>
      <c r="AD213" s="111"/>
      <c r="AE213" s="111"/>
      <c r="AF213" s="111"/>
      <c r="AG213" s="111"/>
      <c r="AH213" s="111"/>
      <c r="AI213" s="111"/>
      <c r="AJ213" s="111"/>
      <c r="AK213" s="111"/>
      <c r="AL213" s="111"/>
      <c r="AM213" s="111"/>
      <c r="AN213" s="111"/>
      <c r="AO213" s="111"/>
      <c r="AP213" s="111"/>
      <c r="AQ213" s="111"/>
      <c r="AR213" s="111"/>
      <c r="AS213" s="111"/>
      <c r="AT213" s="111"/>
      <c r="AU213" s="111"/>
      <c r="AV213" s="111"/>
      <c r="AW213" s="111"/>
      <c r="AX213" s="111"/>
      <c r="AY213" s="111"/>
      <c r="AZ213" s="111"/>
      <c r="BA213" s="146"/>
      <c r="BB213" s="104" t="s">
        <v>98</v>
      </c>
      <c r="BC213" s="72" t="s">
        <v>93</v>
      </c>
      <c r="BD213" s="72" t="s">
        <v>508</v>
      </c>
      <c r="BE213" s="72" t="s">
        <v>412</v>
      </c>
      <c r="BF213" s="146"/>
      <c r="BG213" s="112">
        <v>49.9</v>
      </c>
      <c r="BH213" s="113"/>
      <c r="BI213" s="146"/>
      <c r="BJ213" s="105"/>
      <c r="BK213" s="113"/>
      <c r="BL213" s="113"/>
      <c r="BM213" s="105"/>
      <c r="BN213" s="113"/>
      <c r="BO213" s="152"/>
      <c r="BP213" s="146"/>
      <c r="BQ213" s="112" t="s">
        <v>113</v>
      </c>
      <c r="BR213" s="113"/>
      <c r="BS213" s="105"/>
      <c r="BT213" s="146"/>
      <c r="BU213" s="105"/>
      <c r="BV213" s="105"/>
      <c r="BW213" s="112"/>
      <c r="BX213" s="113"/>
      <c r="BY213" s="105"/>
      <c r="BZ213" s="113"/>
      <c r="CA213" s="113"/>
      <c r="CB213" s="105"/>
      <c r="CC213" s="113"/>
      <c r="CD213" s="152"/>
      <c r="CE213" s="112"/>
      <c r="CF213" s="113"/>
      <c r="CG213" s="105"/>
      <c r="CH213" s="146"/>
      <c r="CI213" s="105"/>
      <c r="CJ213" s="105"/>
      <c r="CK213" s="112"/>
      <c r="CL213" s="113"/>
      <c r="CM213" s="105"/>
      <c r="CN213" s="152"/>
      <c r="CO213" s="152"/>
      <c r="CP213" s="105"/>
      <c r="CQ213" s="113"/>
      <c r="CR213" s="152"/>
      <c r="CS213" s="112"/>
      <c r="CT213" s="113"/>
      <c r="CU213" s="105"/>
      <c r="CV213" s="146"/>
      <c r="CW213" s="105"/>
      <c r="CX213" s="105"/>
      <c r="CY213" s="112"/>
      <c r="CZ213" s="113"/>
      <c r="DA213" s="105"/>
      <c r="DB213" s="113"/>
      <c r="DC213" s="113"/>
      <c r="DD213" s="105"/>
      <c r="DE213" s="113"/>
      <c r="DF213" s="113"/>
      <c r="DG213" s="112"/>
      <c r="DH213" s="113"/>
      <c r="DI213" s="105"/>
      <c r="DJ213" s="146"/>
      <c r="DK213" s="105"/>
      <c r="DL213" s="105"/>
      <c r="DM213" s="112"/>
      <c r="DN213" s="113"/>
      <c r="DO213" s="105"/>
      <c r="DP213" s="113"/>
      <c r="DQ213" s="113"/>
      <c r="DR213" s="105"/>
      <c r="DS213" s="113"/>
      <c r="DT213" s="113"/>
      <c r="DU213" s="112"/>
      <c r="DV213" s="113"/>
      <c r="DW213" s="105"/>
      <c r="DX213" s="146"/>
      <c r="DY213" s="105"/>
      <c r="DZ213" s="105"/>
      <c r="EA213" s="112"/>
      <c r="EB213" s="113"/>
      <c r="EC213" s="105"/>
      <c r="ED213" s="113"/>
      <c r="EE213" s="113"/>
      <c r="EF213" s="105"/>
      <c r="EG213" s="113"/>
      <c r="EH213" s="113"/>
      <c r="EI213" s="112"/>
      <c r="EJ213" s="113"/>
      <c r="EK213" s="105"/>
      <c r="EL213" s="146"/>
      <c r="EM213" s="72" t="s">
        <v>115</v>
      </c>
      <c r="EN213" s="74">
        <v>2250</v>
      </c>
      <c r="EO213" s="73"/>
      <c r="EP213" s="72" t="s">
        <v>77</v>
      </c>
      <c r="EQ213" s="72"/>
      <c r="ER213" s="75"/>
      <c r="ES213" s="76"/>
      <c r="ET213" s="77"/>
      <c r="EU213" s="77"/>
      <c r="EV213" s="78"/>
      <c r="EW213" s="72"/>
      <c r="EX213" s="72"/>
      <c r="EY213" s="72" t="s">
        <v>100</v>
      </c>
      <c r="EZ213" s="72" t="s">
        <v>114</v>
      </c>
      <c r="FA213" s="72"/>
      <c r="FB213" s="78"/>
      <c r="FC213" s="78"/>
      <c r="FD213" s="146"/>
      <c r="FE213" s="78"/>
      <c r="FF213" s="78"/>
      <c r="FG213" s="78"/>
      <c r="FH213" s="78"/>
      <c r="FI213" s="78"/>
      <c r="FJ213" s="78"/>
      <c r="FK213" s="78"/>
      <c r="FL213" s="78"/>
      <c r="FM213" s="78"/>
      <c r="FN213" s="78"/>
      <c r="FO213" s="146"/>
      <c r="FP213" s="78"/>
      <c r="FQ213" s="78"/>
      <c r="FR213" s="78"/>
      <c r="FS213" s="78"/>
      <c r="FT213" s="78"/>
      <c r="FU213" s="78"/>
      <c r="FV213" s="78"/>
      <c r="FW213" s="78"/>
      <c r="FX213" s="78"/>
      <c r="FY213" s="78"/>
    </row>
    <row r="214" spans="1:181" s="71" customFormat="1" ht="16.350000000000001" customHeight="1" x14ac:dyDescent="0.25">
      <c r="A214" s="109"/>
      <c r="B214" s="70"/>
      <c r="C214" s="110"/>
      <c r="D214" s="110"/>
      <c r="E214" s="146"/>
      <c r="F214" s="109" t="str">
        <f>mehrsprachigkeitBegriffsrückgabe(gewählteSpracheZurückgeben(), "Product (foreign language)")</f>
        <v>Produkt (Fremdsprache)</v>
      </c>
      <c r="G214" s="111"/>
      <c r="H214" s="111" t="s">
        <v>295</v>
      </c>
      <c r="I214" s="111" t="s">
        <v>94</v>
      </c>
      <c r="J214" s="111" t="s">
        <v>340</v>
      </c>
      <c r="K214" s="111"/>
      <c r="L214" s="146"/>
      <c r="M214" s="149"/>
      <c r="N214" s="111"/>
      <c r="O214" s="111"/>
      <c r="P214" s="111"/>
      <c r="Q214" s="111"/>
      <c r="R214" s="111"/>
      <c r="S214" s="111"/>
      <c r="T214" s="111"/>
      <c r="U214" s="111"/>
      <c r="V214" s="111"/>
      <c r="W214" s="111"/>
      <c r="X214" s="111"/>
      <c r="Y214" s="111"/>
      <c r="Z214" s="111"/>
      <c r="AA214" s="111"/>
      <c r="AB214" s="111"/>
      <c r="AC214" s="111"/>
      <c r="AD214" s="111"/>
      <c r="AE214" s="111"/>
      <c r="AF214" s="111"/>
      <c r="AG214" s="111"/>
      <c r="AH214" s="111"/>
      <c r="AI214" s="111"/>
      <c r="AJ214" s="111"/>
      <c r="AK214" s="111"/>
      <c r="AL214" s="111"/>
      <c r="AM214" s="111"/>
      <c r="AN214" s="111"/>
      <c r="AO214" s="111"/>
      <c r="AP214" s="111"/>
      <c r="AQ214" s="111"/>
      <c r="AR214" s="111"/>
      <c r="AS214" s="111"/>
      <c r="AT214" s="111"/>
      <c r="AU214" s="111"/>
      <c r="AV214" s="111"/>
      <c r="AW214" s="111"/>
      <c r="AX214" s="111"/>
      <c r="AY214" s="111"/>
      <c r="AZ214" s="111"/>
      <c r="BA214" s="146"/>
      <c r="BB214" s="104" t="s">
        <v>99</v>
      </c>
      <c r="BC214" s="72" t="s">
        <v>95</v>
      </c>
      <c r="BD214" s="72"/>
      <c r="BE214" s="72"/>
      <c r="BF214" s="146"/>
      <c r="BG214" s="112" t="s">
        <v>113</v>
      </c>
      <c r="BH214" s="113"/>
      <c r="BI214" s="146"/>
      <c r="BJ214" s="105"/>
      <c r="BK214" s="113"/>
      <c r="BL214" s="113"/>
      <c r="BM214" s="105"/>
      <c r="BN214" s="113"/>
      <c r="BO214" s="113"/>
      <c r="BP214" s="146"/>
      <c r="BQ214" s="112" t="s">
        <v>113</v>
      </c>
      <c r="BR214" s="113"/>
      <c r="BS214" s="105"/>
      <c r="BT214" s="146"/>
      <c r="BU214" s="105"/>
      <c r="BV214" s="105"/>
      <c r="BW214" s="112"/>
      <c r="BX214" s="113"/>
      <c r="BY214" s="105"/>
      <c r="BZ214" s="113"/>
      <c r="CA214" s="113"/>
      <c r="CB214" s="105"/>
      <c r="CC214" s="113"/>
      <c r="CD214" s="113"/>
      <c r="CE214" s="112"/>
      <c r="CF214" s="113"/>
      <c r="CG214" s="105"/>
      <c r="CH214" s="146"/>
      <c r="CI214" s="105"/>
      <c r="CJ214" s="105"/>
      <c r="CK214" s="112"/>
      <c r="CL214" s="113"/>
      <c r="CM214" s="105"/>
      <c r="CN214" s="113"/>
      <c r="CO214" s="113"/>
      <c r="CP214" s="105"/>
      <c r="CQ214" s="113"/>
      <c r="CR214" s="113"/>
      <c r="CS214" s="112"/>
      <c r="CT214" s="113"/>
      <c r="CU214" s="105"/>
      <c r="CV214" s="146"/>
      <c r="CW214" s="105"/>
      <c r="CX214" s="105"/>
      <c r="CY214" s="112"/>
      <c r="CZ214" s="113"/>
      <c r="DA214" s="105"/>
      <c r="DB214" s="113"/>
      <c r="DC214" s="113"/>
      <c r="DD214" s="105"/>
      <c r="DE214" s="113"/>
      <c r="DF214" s="113"/>
      <c r="DG214" s="112"/>
      <c r="DH214" s="113"/>
      <c r="DI214" s="105"/>
      <c r="DJ214" s="146"/>
      <c r="DK214" s="105"/>
      <c r="DL214" s="105"/>
      <c r="DM214" s="112"/>
      <c r="DN214" s="113"/>
      <c r="DO214" s="105"/>
      <c r="DP214" s="113"/>
      <c r="DQ214" s="113"/>
      <c r="DR214" s="105"/>
      <c r="DS214" s="113"/>
      <c r="DT214" s="113"/>
      <c r="DU214" s="112"/>
      <c r="DV214" s="113"/>
      <c r="DW214" s="105"/>
      <c r="DX214" s="146"/>
      <c r="DY214" s="105"/>
      <c r="DZ214" s="105"/>
      <c r="EA214" s="112"/>
      <c r="EB214" s="113"/>
      <c r="EC214" s="105"/>
      <c r="ED214" s="113"/>
      <c r="EE214" s="113"/>
      <c r="EF214" s="105"/>
      <c r="EG214" s="113"/>
      <c r="EH214" s="113"/>
      <c r="EI214" s="112"/>
      <c r="EJ214" s="113"/>
      <c r="EK214" s="105"/>
      <c r="EL214" s="146"/>
      <c r="EM214" s="72"/>
      <c r="EN214" s="74"/>
      <c r="EO214" s="73"/>
      <c r="EP214" s="72" t="s">
        <v>96</v>
      </c>
      <c r="EQ214" s="72"/>
      <c r="ER214" s="75"/>
      <c r="ES214" s="76"/>
      <c r="ET214" s="77"/>
      <c r="EU214" s="77"/>
      <c r="EV214" s="78"/>
      <c r="EW214" s="72"/>
      <c r="EX214" s="72"/>
      <c r="EY214" s="72"/>
      <c r="EZ214" s="72"/>
      <c r="FA214" s="72"/>
      <c r="FB214" s="78"/>
      <c r="FC214" s="78"/>
      <c r="FD214" s="146"/>
      <c r="FE214" s="78"/>
      <c r="FF214" s="78"/>
      <c r="FG214" s="78"/>
      <c r="FO214" s="146"/>
      <c r="FP214" s="78"/>
      <c r="FQ214" s="78"/>
      <c r="FR214" s="78"/>
    </row>
    <row r="215" spans="1:181" s="71" customFormat="1" ht="16.350000000000001" customHeight="1" x14ac:dyDescent="0.25">
      <c r="A215" s="109"/>
      <c r="B215" s="70"/>
      <c r="C215" s="110"/>
      <c r="D215" s="110">
        <v>1</v>
      </c>
      <c r="E215" s="146"/>
      <c r="F215" s="109" t="str">
        <f>mehrsprachigkeitBegriffsrückgabe(gewählteSpracheZurückgeben(), "Product")</f>
        <v>Produkt</v>
      </c>
      <c r="G215" s="111" t="s">
        <v>296</v>
      </c>
      <c r="H215" s="111"/>
      <c r="I215" s="111" t="s">
        <v>86</v>
      </c>
      <c r="J215" s="111" t="s">
        <v>389</v>
      </c>
      <c r="K215" s="111"/>
      <c r="L215" s="146"/>
      <c r="M215" s="149" t="s">
        <v>392</v>
      </c>
      <c r="N215" s="111" t="s">
        <v>395</v>
      </c>
      <c r="O215" s="114"/>
      <c r="P215" s="114"/>
      <c r="Q215" s="111"/>
      <c r="R215" s="111"/>
      <c r="S215" s="111"/>
      <c r="T215" s="111"/>
      <c r="U215" s="111"/>
      <c r="V215" s="111"/>
      <c r="W215" s="111"/>
      <c r="X215" s="111"/>
      <c r="Y215" s="111"/>
      <c r="Z215" s="111"/>
      <c r="AA215" s="111"/>
      <c r="AB215" s="111"/>
      <c r="AC215" s="111"/>
      <c r="AD215" s="111"/>
      <c r="AE215" s="111"/>
      <c r="AF215" s="111"/>
      <c r="AG215" s="111"/>
      <c r="AH215" s="111"/>
      <c r="AI215" s="111"/>
      <c r="AJ215" s="111"/>
      <c r="AK215" s="111"/>
      <c r="AL215" s="111"/>
      <c r="AM215" s="111"/>
      <c r="AN215" s="111"/>
      <c r="AO215" s="111"/>
      <c r="AP215" s="111"/>
      <c r="AQ215" s="111"/>
      <c r="AR215" s="111"/>
      <c r="AS215" s="111"/>
      <c r="AT215" s="111"/>
      <c r="AU215" s="111"/>
      <c r="AV215" s="111"/>
      <c r="AW215" s="111"/>
      <c r="AX215" s="111"/>
      <c r="AY215" s="111"/>
      <c r="AZ215" s="111"/>
      <c r="BA215" s="146"/>
      <c r="BB215" s="104" t="s">
        <v>98</v>
      </c>
      <c r="BC215" s="72" t="s">
        <v>93</v>
      </c>
      <c r="BD215" s="72" t="s">
        <v>508</v>
      </c>
      <c r="BE215" s="72" t="s">
        <v>414</v>
      </c>
      <c r="BF215" s="146"/>
      <c r="BG215" s="112">
        <v>44.9</v>
      </c>
      <c r="BH215" s="113"/>
      <c r="BI215" s="146"/>
      <c r="BJ215" s="105"/>
      <c r="BK215" s="113"/>
      <c r="BL215" s="113"/>
      <c r="BM215" s="105"/>
      <c r="BN215" s="113"/>
      <c r="BO215" s="152"/>
      <c r="BP215" s="146"/>
      <c r="BQ215" s="112">
        <v>59.9</v>
      </c>
      <c r="BR215" s="113"/>
      <c r="BS215" s="105">
        <v>1</v>
      </c>
      <c r="BT215" s="146"/>
      <c r="BU215" s="105"/>
      <c r="BV215" s="105"/>
      <c r="BW215" s="112"/>
      <c r="BX215" s="113"/>
      <c r="BY215" s="105"/>
      <c r="BZ215" s="113"/>
      <c r="CA215" s="113"/>
      <c r="CB215" s="105"/>
      <c r="CC215" s="113"/>
      <c r="CD215" s="152"/>
      <c r="CE215" s="112"/>
      <c r="CF215" s="113"/>
      <c r="CG215" s="105"/>
      <c r="CH215" s="146"/>
      <c r="CI215" s="105"/>
      <c r="CJ215" s="105"/>
      <c r="CK215" s="112"/>
      <c r="CL215" s="113"/>
      <c r="CM215" s="105"/>
      <c r="CN215" s="152"/>
      <c r="CO215" s="152"/>
      <c r="CP215" s="105"/>
      <c r="CQ215" s="113"/>
      <c r="CR215" s="152"/>
      <c r="CS215" s="112"/>
      <c r="CT215" s="113"/>
      <c r="CU215" s="105"/>
      <c r="CV215" s="146"/>
      <c r="CW215" s="105"/>
      <c r="CX215" s="105"/>
      <c r="CY215" s="112"/>
      <c r="CZ215" s="113"/>
      <c r="DA215" s="105"/>
      <c r="DB215" s="113"/>
      <c r="DC215" s="113"/>
      <c r="DD215" s="105"/>
      <c r="DE215" s="113"/>
      <c r="DF215" s="113"/>
      <c r="DG215" s="112"/>
      <c r="DH215" s="113"/>
      <c r="DI215" s="105"/>
      <c r="DJ215" s="146"/>
      <c r="DK215" s="105"/>
      <c r="DL215" s="105"/>
      <c r="DM215" s="112"/>
      <c r="DN215" s="113"/>
      <c r="DO215" s="105"/>
      <c r="DP215" s="113"/>
      <c r="DQ215" s="113"/>
      <c r="DR215" s="105"/>
      <c r="DS215" s="113"/>
      <c r="DT215" s="113"/>
      <c r="DU215" s="112"/>
      <c r="DV215" s="113"/>
      <c r="DW215" s="105"/>
      <c r="DX215" s="146"/>
      <c r="DY215" s="105"/>
      <c r="DZ215" s="105"/>
      <c r="EA215" s="112"/>
      <c r="EB215" s="113"/>
      <c r="EC215" s="105"/>
      <c r="ED215" s="113"/>
      <c r="EE215" s="113"/>
      <c r="EF215" s="105"/>
      <c r="EG215" s="113"/>
      <c r="EH215" s="113"/>
      <c r="EI215" s="112"/>
      <c r="EJ215" s="113"/>
      <c r="EK215" s="105"/>
      <c r="EL215" s="146"/>
      <c r="EM215" s="72" t="s">
        <v>115</v>
      </c>
      <c r="EN215" s="74">
        <v>2250</v>
      </c>
      <c r="EO215" s="73"/>
      <c r="EP215" s="72" t="s">
        <v>77</v>
      </c>
      <c r="EQ215" s="72"/>
      <c r="ER215" s="75"/>
      <c r="ES215" s="76"/>
      <c r="ET215" s="77"/>
      <c r="EU215" s="77">
        <v>1</v>
      </c>
      <c r="EV215" s="78"/>
      <c r="EW215" s="72"/>
      <c r="EX215" s="72"/>
      <c r="EY215" s="72" t="s">
        <v>100</v>
      </c>
      <c r="EZ215" s="72" t="s">
        <v>114</v>
      </c>
      <c r="FA215" s="72"/>
      <c r="FB215" s="78"/>
      <c r="FC215" s="78"/>
      <c r="FD215" s="146"/>
      <c r="FE215" s="78"/>
      <c r="FF215" s="78"/>
      <c r="FG215" s="78"/>
      <c r="FH215" s="78"/>
      <c r="FI215" s="78"/>
      <c r="FJ215" s="78"/>
      <c r="FK215" s="78"/>
      <c r="FL215" s="78"/>
      <c r="FM215" s="78"/>
      <c r="FN215" s="78"/>
      <c r="FO215" s="146"/>
      <c r="FP215" s="78"/>
      <c r="FQ215" s="78"/>
      <c r="FR215" s="78"/>
      <c r="FS215" s="78"/>
      <c r="FT215" s="78"/>
      <c r="FU215" s="78"/>
      <c r="FV215" s="78"/>
      <c r="FW215" s="78"/>
      <c r="FX215" s="78"/>
      <c r="FY215" s="78"/>
    </row>
    <row r="216" spans="1:181" s="71" customFormat="1" ht="16.350000000000001" customHeight="1" x14ac:dyDescent="0.25">
      <c r="A216" s="109"/>
      <c r="B216" s="70"/>
      <c r="C216" s="110"/>
      <c r="D216" s="110"/>
      <c r="E216" s="146"/>
      <c r="F216" s="109" t="str">
        <f>mehrsprachigkeitBegriffsrückgabe(gewählteSpracheZurückgeben(), "Product (foreign language)")</f>
        <v>Produkt (Fremdsprache)</v>
      </c>
      <c r="G216" s="111"/>
      <c r="H216" s="111" t="s">
        <v>296</v>
      </c>
      <c r="I216" s="111" t="s">
        <v>94</v>
      </c>
      <c r="J216" s="111" t="s">
        <v>341</v>
      </c>
      <c r="K216" s="111"/>
      <c r="L216" s="146"/>
      <c r="M216" s="149"/>
      <c r="N216" s="111"/>
      <c r="O216" s="111"/>
      <c r="P216" s="111"/>
      <c r="Q216" s="111"/>
      <c r="R216" s="111"/>
      <c r="S216" s="111"/>
      <c r="T216" s="111"/>
      <c r="U216" s="111"/>
      <c r="V216" s="111"/>
      <c r="W216" s="111"/>
      <c r="X216" s="111"/>
      <c r="Y216" s="111"/>
      <c r="Z216" s="111"/>
      <c r="AA216" s="111"/>
      <c r="AB216" s="111"/>
      <c r="AC216" s="111"/>
      <c r="AD216" s="111"/>
      <c r="AE216" s="111"/>
      <c r="AF216" s="111"/>
      <c r="AG216" s="111"/>
      <c r="AH216" s="111"/>
      <c r="AI216" s="111"/>
      <c r="AJ216" s="111"/>
      <c r="AK216" s="111"/>
      <c r="AL216" s="111"/>
      <c r="AM216" s="111"/>
      <c r="AN216" s="111"/>
      <c r="AO216" s="111"/>
      <c r="AP216" s="111"/>
      <c r="AQ216" s="111"/>
      <c r="AR216" s="111"/>
      <c r="AS216" s="111"/>
      <c r="AT216" s="111"/>
      <c r="AU216" s="111"/>
      <c r="AV216" s="111"/>
      <c r="AW216" s="111"/>
      <c r="AX216" s="111"/>
      <c r="AY216" s="111"/>
      <c r="AZ216" s="111"/>
      <c r="BA216" s="146"/>
      <c r="BB216" s="104" t="s">
        <v>99</v>
      </c>
      <c r="BC216" s="72" t="s">
        <v>95</v>
      </c>
      <c r="BD216" s="72"/>
      <c r="BE216" s="72"/>
      <c r="BF216" s="146"/>
      <c r="BG216" s="112" t="s">
        <v>113</v>
      </c>
      <c r="BH216" s="113"/>
      <c r="BI216" s="146"/>
      <c r="BJ216" s="105"/>
      <c r="BK216" s="113"/>
      <c r="BL216" s="113"/>
      <c r="BM216" s="105"/>
      <c r="BN216" s="113"/>
      <c r="BO216" s="113"/>
      <c r="BP216" s="146"/>
      <c r="BQ216" s="112" t="s">
        <v>113</v>
      </c>
      <c r="BR216" s="113"/>
      <c r="BS216" s="105"/>
      <c r="BT216" s="146"/>
      <c r="BU216" s="105"/>
      <c r="BV216" s="105"/>
      <c r="BW216" s="112"/>
      <c r="BX216" s="113"/>
      <c r="BY216" s="105"/>
      <c r="BZ216" s="113"/>
      <c r="CA216" s="113"/>
      <c r="CB216" s="105"/>
      <c r="CC216" s="113"/>
      <c r="CD216" s="113"/>
      <c r="CE216" s="112"/>
      <c r="CF216" s="113"/>
      <c r="CG216" s="105"/>
      <c r="CH216" s="146"/>
      <c r="CI216" s="105"/>
      <c r="CJ216" s="105"/>
      <c r="CK216" s="112"/>
      <c r="CL216" s="113"/>
      <c r="CM216" s="105"/>
      <c r="CN216" s="113"/>
      <c r="CO216" s="113"/>
      <c r="CP216" s="105"/>
      <c r="CQ216" s="113"/>
      <c r="CR216" s="113"/>
      <c r="CS216" s="112"/>
      <c r="CT216" s="113"/>
      <c r="CU216" s="105"/>
      <c r="CV216" s="146"/>
      <c r="CW216" s="105"/>
      <c r="CX216" s="105"/>
      <c r="CY216" s="112"/>
      <c r="CZ216" s="113"/>
      <c r="DA216" s="105"/>
      <c r="DB216" s="113"/>
      <c r="DC216" s="113"/>
      <c r="DD216" s="105"/>
      <c r="DE216" s="113"/>
      <c r="DF216" s="113"/>
      <c r="DG216" s="112"/>
      <c r="DH216" s="113"/>
      <c r="DI216" s="105"/>
      <c r="DJ216" s="146"/>
      <c r="DK216" s="105"/>
      <c r="DL216" s="105"/>
      <c r="DM216" s="112"/>
      <c r="DN216" s="113"/>
      <c r="DO216" s="105"/>
      <c r="DP216" s="113"/>
      <c r="DQ216" s="113"/>
      <c r="DR216" s="105"/>
      <c r="DS216" s="113"/>
      <c r="DT216" s="113"/>
      <c r="DU216" s="112"/>
      <c r="DV216" s="113"/>
      <c r="DW216" s="105"/>
      <c r="DX216" s="146"/>
      <c r="DY216" s="105"/>
      <c r="DZ216" s="105"/>
      <c r="EA216" s="112"/>
      <c r="EB216" s="113"/>
      <c r="EC216" s="105"/>
      <c r="ED216" s="113"/>
      <c r="EE216" s="113"/>
      <c r="EF216" s="105"/>
      <c r="EG216" s="113"/>
      <c r="EH216" s="113"/>
      <c r="EI216" s="112"/>
      <c r="EJ216" s="113"/>
      <c r="EK216" s="105"/>
      <c r="EL216" s="146"/>
      <c r="EM216" s="72"/>
      <c r="EN216" s="74"/>
      <c r="EO216" s="73"/>
      <c r="EP216" s="72" t="s">
        <v>96</v>
      </c>
      <c r="EQ216" s="72"/>
      <c r="ER216" s="75"/>
      <c r="ES216" s="76"/>
      <c r="ET216" s="77"/>
      <c r="EU216" s="77"/>
      <c r="EV216" s="78"/>
      <c r="EW216" s="72"/>
      <c r="EX216" s="72"/>
      <c r="EY216" s="72"/>
      <c r="EZ216" s="72"/>
      <c r="FA216" s="72"/>
      <c r="FB216" s="78"/>
      <c r="FC216" s="78"/>
      <c r="FD216" s="146"/>
      <c r="FE216" s="78"/>
      <c r="FF216" s="78"/>
      <c r="FG216" s="78"/>
      <c r="FO216" s="146"/>
      <c r="FP216" s="78"/>
      <c r="FQ216" s="78"/>
      <c r="FR216" s="78"/>
    </row>
    <row r="217" spans="1:181" s="71" customFormat="1" ht="16.350000000000001" customHeight="1" x14ac:dyDescent="0.25">
      <c r="A217" s="109"/>
      <c r="B217" s="70"/>
      <c r="C217" s="110"/>
      <c r="D217" s="110">
        <v>1</v>
      </c>
      <c r="E217" s="146"/>
      <c r="F217" s="109" t="str">
        <f>mehrsprachigkeitBegriffsrückgabe(gewählteSpracheZurückgeben(), "Product")</f>
        <v>Produkt</v>
      </c>
      <c r="G217" s="111" t="s">
        <v>297</v>
      </c>
      <c r="H217" s="111"/>
      <c r="I217" s="111" t="s">
        <v>86</v>
      </c>
      <c r="J217" s="111" t="s">
        <v>390</v>
      </c>
      <c r="K217" s="111"/>
      <c r="L217" s="146"/>
      <c r="M217" s="149" t="s">
        <v>392</v>
      </c>
      <c r="N217" s="111" t="s">
        <v>395</v>
      </c>
      <c r="O217" s="114"/>
      <c r="P217" s="114"/>
      <c r="Q217" s="111"/>
      <c r="R217" s="111"/>
      <c r="S217" s="111"/>
      <c r="T217" s="111"/>
      <c r="U217" s="111"/>
      <c r="V217" s="111"/>
      <c r="W217" s="111"/>
      <c r="X217" s="111"/>
      <c r="Y217" s="111"/>
      <c r="Z217" s="111"/>
      <c r="AA217" s="111"/>
      <c r="AB217" s="111"/>
      <c r="AC217" s="111"/>
      <c r="AD217" s="111"/>
      <c r="AE217" s="111"/>
      <c r="AF217" s="111"/>
      <c r="AG217" s="111"/>
      <c r="AH217" s="111"/>
      <c r="AI217" s="111"/>
      <c r="AJ217" s="111"/>
      <c r="AK217" s="111"/>
      <c r="AL217" s="111"/>
      <c r="AM217" s="111"/>
      <c r="AN217" s="111"/>
      <c r="AO217" s="111"/>
      <c r="AP217" s="111"/>
      <c r="AQ217" s="111"/>
      <c r="AR217" s="111"/>
      <c r="AS217" s="111"/>
      <c r="AT217" s="111"/>
      <c r="AU217" s="111"/>
      <c r="AV217" s="111"/>
      <c r="AW217" s="111"/>
      <c r="AX217" s="111"/>
      <c r="AY217" s="111"/>
      <c r="AZ217" s="111"/>
      <c r="BA217" s="146"/>
      <c r="BB217" s="104" t="s">
        <v>98</v>
      </c>
      <c r="BC217" s="72" t="s">
        <v>93</v>
      </c>
      <c r="BD217" s="72" t="s">
        <v>508</v>
      </c>
      <c r="BE217" s="72" t="s">
        <v>413</v>
      </c>
      <c r="BF217" s="146"/>
      <c r="BG217" s="112">
        <v>64.900000000000006</v>
      </c>
      <c r="BH217" s="113"/>
      <c r="BI217" s="146"/>
      <c r="BJ217" s="105"/>
      <c r="BK217" s="113"/>
      <c r="BL217" s="113"/>
      <c r="BM217" s="105"/>
      <c r="BN217" s="113"/>
      <c r="BO217" s="152"/>
      <c r="BP217" s="146"/>
      <c r="BQ217" s="112" t="s">
        <v>113</v>
      </c>
      <c r="BR217" s="113"/>
      <c r="BS217" s="105"/>
      <c r="BT217" s="146"/>
      <c r="BU217" s="105"/>
      <c r="BV217" s="105"/>
      <c r="BW217" s="112"/>
      <c r="BX217" s="113"/>
      <c r="BY217" s="105"/>
      <c r="BZ217" s="113"/>
      <c r="CA217" s="113"/>
      <c r="CB217" s="105"/>
      <c r="CC217" s="113"/>
      <c r="CD217" s="152"/>
      <c r="CE217" s="112"/>
      <c r="CF217" s="113"/>
      <c r="CG217" s="105"/>
      <c r="CH217" s="146"/>
      <c r="CI217" s="105"/>
      <c r="CJ217" s="105"/>
      <c r="CK217" s="112"/>
      <c r="CL217" s="113"/>
      <c r="CM217" s="105"/>
      <c r="CN217" s="152"/>
      <c r="CO217" s="152"/>
      <c r="CP217" s="105"/>
      <c r="CQ217" s="113"/>
      <c r="CR217" s="152"/>
      <c r="CS217" s="112"/>
      <c r="CT217" s="113"/>
      <c r="CU217" s="105"/>
      <c r="CV217" s="146"/>
      <c r="CW217" s="105"/>
      <c r="CX217" s="105"/>
      <c r="CY217" s="112"/>
      <c r="CZ217" s="113"/>
      <c r="DA217" s="105"/>
      <c r="DB217" s="113"/>
      <c r="DC217" s="113"/>
      <c r="DD217" s="105"/>
      <c r="DE217" s="113"/>
      <c r="DF217" s="113"/>
      <c r="DG217" s="112"/>
      <c r="DH217" s="113"/>
      <c r="DI217" s="105"/>
      <c r="DJ217" s="146"/>
      <c r="DK217" s="105"/>
      <c r="DL217" s="105"/>
      <c r="DM217" s="112"/>
      <c r="DN217" s="113"/>
      <c r="DO217" s="105"/>
      <c r="DP217" s="113"/>
      <c r="DQ217" s="113"/>
      <c r="DR217" s="105"/>
      <c r="DS217" s="113"/>
      <c r="DT217" s="113"/>
      <c r="DU217" s="112"/>
      <c r="DV217" s="113"/>
      <c r="DW217" s="105"/>
      <c r="DX217" s="146"/>
      <c r="DY217" s="105"/>
      <c r="DZ217" s="105"/>
      <c r="EA217" s="112"/>
      <c r="EB217" s="113"/>
      <c r="EC217" s="105"/>
      <c r="ED217" s="113"/>
      <c r="EE217" s="113"/>
      <c r="EF217" s="105"/>
      <c r="EG217" s="113"/>
      <c r="EH217" s="113"/>
      <c r="EI217" s="112"/>
      <c r="EJ217" s="113"/>
      <c r="EK217" s="105"/>
      <c r="EL217" s="146"/>
      <c r="EM217" s="72" t="s">
        <v>115</v>
      </c>
      <c r="EN217" s="74">
        <v>2250</v>
      </c>
      <c r="EO217" s="73"/>
      <c r="EP217" s="72" t="s">
        <v>77</v>
      </c>
      <c r="EQ217" s="72"/>
      <c r="ER217" s="75"/>
      <c r="ES217" s="76"/>
      <c r="ET217" s="77">
        <v>1</v>
      </c>
      <c r="EU217" s="77"/>
      <c r="EV217" s="78"/>
      <c r="EW217" s="72"/>
      <c r="EX217" s="72"/>
      <c r="EY217" s="72" t="s">
        <v>100</v>
      </c>
      <c r="EZ217" s="72" t="s">
        <v>114</v>
      </c>
      <c r="FA217" s="72"/>
      <c r="FB217" s="78"/>
      <c r="FC217" s="78"/>
      <c r="FD217" s="146"/>
      <c r="FE217" s="78"/>
      <c r="FF217" s="78"/>
      <c r="FG217" s="78"/>
      <c r="FH217" s="78"/>
      <c r="FI217" s="78"/>
      <c r="FJ217" s="78"/>
      <c r="FK217" s="78"/>
      <c r="FL217" s="78"/>
      <c r="FM217" s="78"/>
      <c r="FN217" s="78"/>
      <c r="FO217" s="146"/>
      <c r="FP217" s="78"/>
      <c r="FQ217" s="78"/>
      <c r="FR217" s="78"/>
      <c r="FS217" s="78"/>
      <c r="FT217" s="78"/>
      <c r="FU217" s="78"/>
      <c r="FV217" s="78"/>
      <c r="FW217" s="78"/>
      <c r="FX217" s="78"/>
      <c r="FY217" s="78"/>
    </row>
    <row r="218" spans="1:181" s="71" customFormat="1" ht="16.350000000000001" customHeight="1" x14ac:dyDescent="0.25">
      <c r="A218" s="109"/>
      <c r="B218" s="70"/>
      <c r="C218" s="110"/>
      <c r="D218" s="110"/>
      <c r="E218" s="146"/>
      <c r="F218" s="109" t="str">
        <f>mehrsprachigkeitBegriffsrückgabe(gewählteSpracheZurückgeben(), "Product (foreign language)")</f>
        <v>Produkt (Fremdsprache)</v>
      </c>
      <c r="G218" s="111"/>
      <c r="H218" s="111" t="s">
        <v>297</v>
      </c>
      <c r="I218" s="111" t="s">
        <v>94</v>
      </c>
      <c r="J218" s="111" t="s">
        <v>342</v>
      </c>
      <c r="K218" s="111"/>
      <c r="L218" s="146"/>
      <c r="M218" s="149"/>
      <c r="N218" s="111"/>
      <c r="O218" s="111"/>
      <c r="P218" s="111"/>
      <c r="Q218" s="111"/>
      <c r="R218" s="111"/>
      <c r="S218" s="111"/>
      <c r="T218" s="111"/>
      <c r="U218" s="111"/>
      <c r="V218" s="111"/>
      <c r="W218" s="111"/>
      <c r="X218" s="111"/>
      <c r="Y218" s="111"/>
      <c r="Z218" s="111"/>
      <c r="AA218" s="111"/>
      <c r="AB218" s="111"/>
      <c r="AC218" s="111"/>
      <c r="AD218" s="111"/>
      <c r="AE218" s="111"/>
      <c r="AF218" s="111"/>
      <c r="AG218" s="111"/>
      <c r="AH218" s="111"/>
      <c r="AI218" s="111"/>
      <c r="AJ218" s="111"/>
      <c r="AK218" s="111"/>
      <c r="AL218" s="111"/>
      <c r="AM218" s="111"/>
      <c r="AN218" s="111"/>
      <c r="AO218" s="111"/>
      <c r="AP218" s="111"/>
      <c r="AQ218" s="111"/>
      <c r="AR218" s="111"/>
      <c r="AS218" s="111"/>
      <c r="AT218" s="111"/>
      <c r="AU218" s="111"/>
      <c r="AV218" s="111"/>
      <c r="AW218" s="111"/>
      <c r="AX218" s="111"/>
      <c r="AY218" s="111"/>
      <c r="AZ218" s="111"/>
      <c r="BA218" s="146"/>
      <c r="BB218" s="104" t="s">
        <v>99</v>
      </c>
      <c r="BC218" s="72" t="s">
        <v>95</v>
      </c>
      <c r="BD218" s="72"/>
      <c r="BE218" s="72"/>
      <c r="BF218" s="146"/>
      <c r="BG218" s="112" t="s">
        <v>113</v>
      </c>
      <c r="BH218" s="113"/>
      <c r="BI218" s="146"/>
      <c r="BJ218" s="105"/>
      <c r="BK218" s="113"/>
      <c r="BL218" s="113"/>
      <c r="BM218" s="105"/>
      <c r="BN218" s="113"/>
      <c r="BO218" s="113"/>
      <c r="BP218" s="146"/>
      <c r="BQ218" s="112" t="s">
        <v>113</v>
      </c>
      <c r="BR218" s="113"/>
      <c r="BS218" s="105"/>
      <c r="BT218" s="146"/>
      <c r="BU218" s="105"/>
      <c r="BV218" s="105"/>
      <c r="BW218" s="112"/>
      <c r="BX218" s="113"/>
      <c r="BY218" s="105"/>
      <c r="BZ218" s="113"/>
      <c r="CA218" s="113"/>
      <c r="CB218" s="105"/>
      <c r="CC218" s="113"/>
      <c r="CD218" s="113"/>
      <c r="CE218" s="112"/>
      <c r="CF218" s="113"/>
      <c r="CG218" s="105"/>
      <c r="CH218" s="146"/>
      <c r="CI218" s="105"/>
      <c r="CJ218" s="105"/>
      <c r="CK218" s="112"/>
      <c r="CL218" s="113"/>
      <c r="CM218" s="105"/>
      <c r="CN218" s="113"/>
      <c r="CO218" s="113"/>
      <c r="CP218" s="105"/>
      <c r="CQ218" s="113"/>
      <c r="CR218" s="113"/>
      <c r="CS218" s="112"/>
      <c r="CT218" s="113"/>
      <c r="CU218" s="105"/>
      <c r="CV218" s="146"/>
      <c r="CW218" s="105"/>
      <c r="CX218" s="105"/>
      <c r="CY218" s="112"/>
      <c r="CZ218" s="113"/>
      <c r="DA218" s="105"/>
      <c r="DB218" s="113"/>
      <c r="DC218" s="113"/>
      <c r="DD218" s="105"/>
      <c r="DE218" s="113"/>
      <c r="DF218" s="113"/>
      <c r="DG218" s="112"/>
      <c r="DH218" s="113"/>
      <c r="DI218" s="105"/>
      <c r="DJ218" s="146"/>
      <c r="DK218" s="105"/>
      <c r="DL218" s="105"/>
      <c r="DM218" s="112"/>
      <c r="DN218" s="113"/>
      <c r="DO218" s="105"/>
      <c r="DP218" s="113"/>
      <c r="DQ218" s="113"/>
      <c r="DR218" s="105"/>
      <c r="DS218" s="113"/>
      <c r="DT218" s="113"/>
      <c r="DU218" s="112"/>
      <c r="DV218" s="113"/>
      <c r="DW218" s="105"/>
      <c r="DX218" s="146"/>
      <c r="DY218" s="105"/>
      <c r="DZ218" s="105"/>
      <c r="EA218" s="112"/>
      <c r="EB218" s="113"/>
      <c r="EC218" s="105"/>
      <c r="ED218" s="113"/>
      <c r="EE218" s="113"/>
      <c r="EF218" s="105"/>
      <c r="EG218" s="113"/>
      <c r="EH218" s="113"/>
      <c r="EI218" s="112"/>
      <c r="EJ218" s="113"/>
      <c r="EK218" s="105"/>
      <c r="EL218" s="146"/>
      <c r="EM218" s="72"/>
      <c r="EN218" s="74"/>
      <c r="EO218" s="73"/>
      <c r="EP218" s="72" t="s">
        <v>96</v>
      </c>
      <c r="EQ218" s="72"/>
      <c r="ER218" s="75"/>
      <c r="ES218" s="76"/>
      <c r="ET218" s="77"/>
      <c r="EU218" s="77"/>
      <c r="EV218" s="78"/>
      <c r="EW218" s="72"/>
      <c r="EX218" s="72"/>
      <c r="EY218" s="72"/>
      <c r="EZ218" s="72"/>
      <c r="FA218" s="72"/>
      <c r="FB218" s="78"/>
      <c r="FC218" s="78"/>
      <c r="FD218" s="146"/>
      <c r="FE218" s="78"/>
      <c r="FF218" s="78"/>
      <c r="FG218" s="78"/>
      <c r="FO218" s="146"/>
      <c r="FP218" s="78"/>
      <c r="FQ218" s="78"/>
      <c r="FR218" s="78"/>
    </row>
    <row r="219" spans="1:181" s="71" customFormat="1" ht="16.350000000000001" customHeight="1" x14ac:dyDescent="0.25">
      <c r="A219" s="109"/>
      <c r="B219" s="70"/>
      <c r="C219" s="110"/>
      <c r="D219" s="110">
        <v>1</v>
      </c>
      <c r="E219" s="146"/>
      <c r="F219" s="109" t="str">
        <f>mehrsprachigkeitBegriffsrückgabe(gewählteSpracheZurückgeben(), "Product")</f>
        <v>Produkt</v>
      </c>
      <c r="G219" s="111" t="s">
        <v>298</v>
      </c>
      <c r="H219" s="111"/>
      <c r="I219" s="111" t="s">
        <v>86</v>
      </c>
      <c r="J219" s="111" t="s">
        <v>391</v>
      </c>
      <c r="K219" s="111"/>
      <c r="L219" s="146"/>
      <c r="M219" s="149" t="s">
        <v>392</v>
      </c>
      <c r="N219" s="111" t="s">
        <v>396</v>
      </c>
      <c r="O219" s="114"/>
      <c r="P219" s="114"/>
      <c r="Q219" s="111"/>
      <c r="R219" s="111"/>
      <c r="S219" s="111"/>
      <c r="T219" s="111"/>
      <c r="U219" s="111"/>
      <c r="V219" s="111"/>
      <c r="W219" s="111"/>
      <c r="X219" s="111"/>
      <c r="Y219" s="111"/>
      <c r="Z219" s="111"/>
      <c r="AA219" s="111"/>
      <c r="AB219" s="111"/>
      <c r="AC219" s="111"/>
      <c r="AD219" s="111"/>
      <c r="AE219" s="111"/>
      <c r="AF219" s="111"/>
      <c r="AG219" s="111"/>
      <c r="AH219" s="111"/>
      <c r="AI219" s="111"/>
      <c r="AJ219" s="111"/>
      <c r="AK219" s="111"/>
      <c r="AL219" s="111"/>
      <c r="AM219" s="111"/>
      <c r="AN219" s="111"/>
      <c r="AO219" s="111"/>
      <c r="AP219" s="111"/>
      <c r="AQ219" s="111"/>
      <c r="AR219" s="111"/>
      <c r="AS219" s="111"/>
      <c r="AT219" s="111"/>
      <c r="AU219" s="111"/>
      <c r="AV219" s="111"/>
      <c r="AW219" s="111"/>
      <c r="AX219" s="111"/>
      <c r="AY219" s="111"/>
      <c r="AZ219" s="111"/>
      <c r="BA219" s="146"/>
      <c r="BB219" s="104" t="s">
        <v>98</v>
      </c>
      <c r="BC219" s="72" t="s">
        <v>93</v>
      </c>
      <c r="BD219" s="72" t="s">
        <v>508</v>
      </c>
      <c r="BE219" s="72" t="s">
        <v>412</v>
      </c>
      <c r="BF219" s="146"/>
      <c r="BG219" s="112">
        <v>59.9</v>
      </c>
      <c r="BH219" s="113"/>
      <c r="BI219" s="146"/>
      <c r="BJ219" s="105"/>
      <c r="BK219" s="113"/>
      <c r="BL219" s="113"/>
      <c r="BM219" s="105"/>
      <c r="BN219" s="113"/>
      <c r="BO219" s="152"/>
      <c r="BP219" s="146"/>
      <c r="BQ219" s="112" t="s">
        <v>113</v>
      </c>
      <c r="BR219" s="113"/>
      <c r="BS219" s="105"/>
      <c r="BT219" s="146"/>
      <c r="BU219" s="105"/>
      <c r="BV219" s="105"/>
      <c r="BW219" s="112"/>
      <c r="BX219" s="113"/>
      <c r="BY219" s="105"/>
      <c r="BZ219" s="113"/>
      <c r="CA219" s="113"/>
      <c r="CB219" s="105"/>
      <c r="CC219" s="113"/>
      <c r="CD219" s="152"/>
      <c r="CE219" s="112"/>
      <c r="CF219" s="113"/>
      <c r="CG219" s="105"/>
      <c r="CH219" s="146"/>
      <c r="CI219" s="105"/>
      <c r="CJ219" s="105"/>
      <c r="CK219" s="112"/>
      <c r="CL219" s="113"/>
      <c r="CM219" s="105"/>
      <c r="CN219" s="152"/>
      <c r="CO219" s="152"/>
      <c r="CP219" s="105"/>
      <c r="CQ219" s="113"/>
      <c r="CR219" s="152"/>
      <c r="CS219" s="112"/>
      <c r="CT219" s="113"/>
      <c r="CU219" s="105"/>
      <c r="CV219" s="146"/>
      <c r="CW219" s="105"/>
      <c r="CX219" s="105"/>
      <c r="CY219" s="112"/>
      <c r="CZ219" s="113"/>
      <c r="DA219" s="105"/>
      <c r="DB219" s="113"/>
      <c r="DC219" s="113"/>
      <c r="DD219" s="105"/>
      <c r="DE219" s="113"/>
      <c r="DF219" s="113"/>
      <c r="DG219" s="112"/>
      <c r="DH219" s="113"/>
      <c r="DI219" s="105"/>
      <c r="DJ219" s="146"/>
      <c r="DK219" s="105"/>
      <c r="DL219" s="105"/>
      <c r="DM219" s="112"/>
      <c r="DN219" s="113"/>
      <c r="DO219" s="105"/>
      <c r="DP219" s="113"/>
      <c r="DQ219" s="113"/>
      <c r="DR219" s="105"/>
      <c r="DS219" s="113"/>
      <c r="DT219" s="113"/>
      <c r="DU219" s="112"/>
      <c r="DV219" s="113"/>
      <c r="DW219" s="105"/>
      <c r="DX219" s="146"/>
      <c r="DY219" s="105"/>
      <c r="DZ219" s="105"/>
      <c r="EA219" s="112"/>
      <c r="EB219" s="113"/>
      <c r="EC219" s="105"/>
      <c r="ED219" s="113"/>
      <c r="EE219" s="113"/>
      <c r="EF219" s="105"/>
      <c r="EG219" s="113"/>
      <c r="EH219" s="113"/>
      <c r="EI219" s="112"/>
      <c r="EJ219" s="113"/>
      <c r="EK219" s="105"/>
      <c r="EL219" s="146"/>
      <c r="EM219" s="72" t="s">
        <v>115</v>
      </c>
      <c r="EN219" s="74">
        <v>2250</v>
      </c>
      <c r="EO219" s="73"/>
      <c r="EP219" s="72" t="s">
        <v>77</v>
      </c>
      <c r="EQ219" s="72"/>
      <c r="ER219" s="75"/>
      <c r="ES219" s="76"/>
      <c r="ET219" s="77"/>
      <c r="EU219" s="77"/>
      <c r="EV219" s="78"/>
      <c r="EW219" s="72"/>
      <c r="EX219" s="72"/>
      <c r="EY219" s="72" t="s">
        <v>100</v>
      </c>
      <c r="EZ219" s="72" t="s">
        <v>114</v>
      </c>
      <c r="FA219" s="72"/>
      <c r="FB219" s="78"/>
      <c r="FC219" s="78"/>
      <c r="FD219" s="146"/>
      <c r="FE219" s="78"/>
      <c r="FF219" s="78"/>
      <c r="FG219" s="78"/>
      <c r="FH219" s="78"/>
      <c r="FI219" s="78"/>
      <c r="FJ219" s="78"/>
      <c r="FK219" s="78"/>
      <c r="FL219" s="78"/>
      <c r="FM219" s="78"/>
      <c r="FN219" s="78"/>
      <c r="FO219" s="146"/>
      <c r="FP219" s="78"/>
      <c r="FQ219" s="78"/>
      <c r="FR219" s="78"/>
      <c r="FS219" s="78"/>
      <c r="FT219" s="78"/>
      <c r="FU219" s="78"/>
      <c r="FV219" s="78"/>
      <c r="FW219" s="78"/>
      <c r="FX219" s="78"/>
      <c r="FY219" s="78"/>
    </row>
    <row r="220" spans="1:181" s="71" customFormat="1" ht="16.350000000000001" customHeight="1" x14ac:dyDescent="0.25">
      <c r="A220" s="109"/>
      <c r="B220" s="70"/>
      <c r="C220" s="110"/>
      <c r="D220" s="110"/>
      <c r="E220" s="146"/>
      <c r="F220" s="109" t="str">
        <f>mehrsprachigkeitBegriffsrückgabe(gewählteSpracheZurückgeben(), "Product (foreign language)")</f>
        <v>Produkt (Fremdsprache)</v>
      </c>
      <c r="G220" s="111"/>
      <c r="H220" s="111" t="s">
        <v>298</v>
      </c>
      <c r="I220" s="111" t="s">
        <v>94</v>
      </c>
      <c r="J220" s="111" t="s">
        <v>343</v>
      </c>
      <c r="K220" s="111"/>
      <c r="L220" s="146"/>
      <c r="M220" s="149"/>
      <c r="N220" s="111"/>
      <c r="O220" s="111"/>
      <c r="P220" s="111"/>
      <c r="Q220" s="111"/>
      <c r="R220" s="111"/>
      <c r="S220" s="111"/>
      <c r="T220" s="111"/>
      <c r="U220" s="111"/>
      <c r="V220" s="111"/>
      <c r="W220" s="111"/>
      <c r="X220" s="111"/>
      <c r="Y220" s="111"/>
      <c r="Z220" s="111"/>
      <c r="AA220" s="111"/>
      <c r="AB220" s="111"/>
      <c r="AC220" s="111"/>
      <c r="AD220" s="111"/>
      <c r="AE220" s="111"/>
      <c r="AF220" s="111"/>
      <c r="AG220" s="111"/>
      <c r="AH220" s="111"/>
      <c r="AI220" s="111"/>
      <c r="AJ220" s="111"/>
      <c r="AK220" s="111"/>
      <c r="AL220" s="111"/>
      <c r="AM220" s="111"/>
      <c r="AN220" s="111"/>
      <c r="AO220" s="111"/>
      <c r="AP220" s="111"/>
      <c r="AQ220" s="111"/>
      <c r="AR220" s="111"/>
      <c r="AS220" s="111"/>
      <c r="AT220" s="111"/>
      <c r="AU220" s="111"/>
      <c r="AV220" s="111"/>
      <c r="AW220" s="111"/>
      <c r="AX220" s="111"/>
      <c r="AY220" s="111"/>
      <c r="AZ220" s="111"/>
      <c r="BA220" s="146"/>
      <c r="BB220" s="104" t="s">
        <v>99</v>
      </c>
      <c r="BC220" s="72" t="s">
        <v>95</v>
      </c>
      <c r="BD220" s="72"/>
      <c r="BE220" s="72"/>
      <c r="BF220" s="146"/>
      <c r="BG220" s="112" t="s">
        <v>113</v>
      </c>
      <c r="BH220" s="113"/>
      <c r="BI220" s="146"/>
      <c r="BJ220" s="105"/>
      <c r="BK220" s="113"/>
      <c r="BL220" s="113"/>
      <c r="BM220" s="105"/>
      <c r="BN220" s="113"/>
      <c r="BO220" s="113"/>
      <c r="BP220" s="146"/>
      <c r="BQ220" s="112" t="s">
        <v>113</v>
      </c>
      <c r="BR220" s="113"/>
      <c r="BS220" s="105"/>
      <c r="BT220" s="146"/>
      <c r="BU220" s="105"/>
      <c r="BV220" s="105"/>
      <c r="BW220" s="112"/>
      <c r="BX220" s="113"/>
      <c r="BY220" s="105"/>
      <c r="BZ220" s="113"/>
      <c r="CA220" s="113"/>
      <c r="CB220" s="105"/>
      <c r="CC220" s="113"/>
      <c r="CD220" s="113"/>
      <c r="CE220" s="112"/>
      <c r="CF220" s="113"/>
      <c r="CG220" s="105"/>
      <c r="CH220" s="146"/>
      <c r="CI220" s="105"/>
      <c r="CJ220" s="105"/>
      <c r="CK220" s="112"/>
      <c r="CL220" s="113"/>
      <c r="CM220" s="105"/>
      <c r="CN220" s="113"/>
      <c r="CO220" s="113"/>
      <c r="CP220" s="105"/>
      <c r="CQ220" s="113"/>
      <c r="CR220" s="113"/>
      <c r="CS220" s="112"/>
      <c r="CT220" s="113"/>
      <c r="CU220" s="105"/>
      <c r="CV220" s="146"/>
      <c r="CW220" s="105"/>
      <c r="CX220" s="105"/>
      <c r="CY220" s="112"/>
      <c r="CZ220" s="113"/>
      <c r="DA220" s="105"/>
      <c r="DB220" s="113"/>
      <c r="DC220" s="113"/>
      <c r="DD220" s="105"/>
      <c r="DE220" s="113"/>
      <c r="DF220" s="113"/>
      <c r="DG220" s="112"/>
      <c r="DH220" s="113"/>
      <c r="DI220" s="105"/>
      <c r="DJ220" s="146"/>
      <c r="DK220" s="105"/>
      <c r="DL220" s="105"/>
      <c r="DM220" s="112"/>
      <c r="DN220" s="113"/>
      <c r="DO220" s="105"/>
      <c r="DP220" s="113"/>
      <c r="DQ220" s="113"/>
      <c r="DR220" s="105"/>
      <c r="DS220" s="113"/>
      <c r="DT220" s="113"/>
      <c r="DU220" s="112"/>
      <c r="DV220" s="113"/>
      <c r="DW220" s="105"/>
      <c r="DX220" s="146"/>
      <c r="DY220" s="105"/>
      <c r="DZ220" s="105"/>
      <c r="EA220" s="112"/>
      <c r="EB220" s="113"/>
      <c r="EC220" s="105"/>
      <c r="ED220" s="113"/>
      <c r="EE220" s="113"/>
      <c r="EF220" s="105"/>
      <c r="EG220" s="113"/>
      <c r="EH220" s="113"/>
      <c r="EI220" s="112"/>
      <c r="EJ220" s="113"/>
      <c r="EK220" s="105"/>
      <c r="EL220" s="146"/>
      <c r="EM220" s="72"/>
      <c r="EN220" s="74"/>
      <c r="EO220" s="73"/>
      <c r="EP220" s="72" t="s">
        <v>96</v>
      </c>
      <c r="EQ220" s="72"/>
      <c r="ER220" s="75"/>
      <c r="ES220" s="76"/>
      <c r="ET220" s="77"/>
      <c r="EU220" s="77"/>
      <c r="EV220" s="78"/>
      <c r="EW220" s="72"/>
      <c r="EX220" s="72"/>
      <c r="EY220" s="72"/>
      <c r="EZ220" s="72"/>
      <c r="FA220" s="72"/>
      <c r="FB220" s="78"/>
      <c r="FC220" s="78"/>
      <c r="FD220" s="146"/>
      <c r="FE220" s="78"/>
      <c r="FF220" s="78"/>
      <c r="FG220" s="78"/>
      <c r="FO220" s="146"/>
      <c r="FP220" s="78"/>
      <c r="FQ220" s="78"/>
      <c r="FR220" s="78"/>
    </row>
    <row r="221" spans="1:181" s="71" customFormat="1" x14ac:dyDescent="0.25">
      <c r="B221" s="70"/>
      <c r="C221" s="70"/>
      <c r="D221" s="70"/>
      <c r="E221" s="147"/>
      <c r="G221" s="72"/>
      <c r="H221" s="72"/>
      <c r="I221" s="72"/>
      <c r="J221" s="72"/>
      <c r="K221" s="72"/>
      <c r="L221" s="147"/>
      <c r="M221" s="150"/>
      <c r="N221" s="72"/>
      <c r="O221" s="72"/>
      <c r="P221" s="72"/>
      <c r="Q221" s="72"/>
      <c r="R221" s="72"/>
      <c r="S221" s="72"/>
      <c r="T221" s="72"/>
      <c r="U221" s="72"/>
      <c r="V221" s="72"/>
      <c r="W221" s="72"/>
      <c r="X221" s="72"/>
      <c r="Y221" s="72"/>
      <c r="Z221" s="72"/>
      <c r="AA221" s="72"/>
      <c r="AB221" s="72"/>
      <c r="AC221" s="72"/>
      <c r="AD221" s="72"/>
      <c r="AE221" s="72"/>
      <c r="AF221" s="72"/>
      <c r="AG221" s="72"/>
      <c r="AH221" s="72"/>
      <c r="AI221" s="72"/>
      <c r="AJ221" s="72"/>
      <c r="AK221" s="72"/>
      <c r="AL221" s="72"/>
      <c r="AM221" s="72"/>
      <c r="AN221" s="72"/>
      <c r="AO221" s="72"/>
      <c r="AP221" s="72"/>
      <c r="AQ221" s="72"/>
      <c r="AR221" s="72"/>
      <c r="AS221" s="72"/>
      <c r="AT221" s="72"/>
      <c r="AU221" s="72"/>
      <c r="AV221" s="72"/>
      <c r="AW221" s="72"/>
      <c r="AX221" s="72"/>
      <c r="AY221" s="72"/>
      <c r="AZ221" s="72"/>
      <c r="BA221" s="147"/>
      <c r="BB221" s="72"/>
      <c r="BC221" s="72"/>
      <c r="BD221" s="72"/>
      <c r="BE221" s="72"/>
      <c r="BF221" s="147"/>
      <c r="BG221" s="83"/>
      <c r="BH221" s="73"/>
      <c r="BI221" s="147"/>
      <c r="BJ221" s="77"/>
      <c r="BK221" s="73"/>
      <c r="BL221" s="73"/>
      <c r="BM221" s="77"/>
      <c r="BN221" s="73"/>
      <c r="BO221" s="73"/>
      <c r="BP221" s="147"/>
      <c r="BQ221" s="83"/>
      <c r="BR221" s="73"/>
      <c r="BS221" s="77"/>
      <c r="BT221" s="147"/>
      <c r="BU221" s="77"/>
      <c r="BV221" s="77"/>
      <c r="BW221" s="83"/>
      <c r="BX221" s="73"/>
      <c r="BY221" s="77"/>
      <c r="BZ221" s="73"/>
      <c r="CA221" s="73"/>
      <c r="CB221" s="77"/>
      <c r="CC221" s="73"/>
      <c r="CD221" s="73"/>
      <c r="CE221" s="83"/>
      <c r="CF221" s="73"/>
      <c r="CG221" s="77"/>
      <c r="CH221" s="147"/>
      <c r="CI221" s="77"/>
      <c r="CJ221" s="77"/>
      <c r="CK221" s="83"/>
      <c r="CL221" s="73"/>
      <c r="CM221" s="77"/>
      <c r="CN221" s="73"/>
      <c r="CO221" s="73"/>
      <c r="CP221" s="77"/>
      <c r="CQ221" s="73"/>
      <c r="CR221" s="73"/>
      <c r="CS221" s="83"/>
      <c r="CT221" s="73"/>
      <c r="CU221" s="77"/>
      <c r="CV221" s="147"/>
      <c r="CW221" s="77"/>
      <c r="CX221" s="77"/>
      <c r="CY221" s="83"/>
      <c r="CZ221" s="73"/>
      <c r="DA221" s="77"/>
      <c r="DB221" s="73"/>
      <c r="DC221" s="73"/>
      <c r="DD221" s="77"/>
      <c r="DE221" s="73"/>
      <c r="DF221" s="73"/>
      <c r="DG221" s="83"/>
      <c r="DH221" s="73"/>
      <c r="DI221" s="77"/>
      <c r="DJ221" s="147"/>
      <c r="DK221" s="77"/>
      <c r="DL221" s="77"/>
      <c r="DM221" s="83"/>
      <c r="DN221" s="73"/>
      <c r="DO221" s="77"/>
      <c r="DP221" s="73"/>
      <c r="DQ221" s="73"/>
      <c r="DR221" s="77"/>
      <c r="DS221" s="73"/>
      <c r="DT221" s="73"/>
      <c r="DU221" s="83"/>
      <c r="DV221" s="73"/>
      <c r="DW221" s="77"/>
      <c r="DX221" s="147"/>
      <c r="DY221" s="77"/>
      <c r="DZ221" s="77"/>
      <c r="EA221" s="83"/>
      <c r="EB221" s="73"/>
      <c r="EC221" s="77"/>
      <c r="ED221" s="73"/>
      <c r="EE221" s="73"/>
      <c r="EF221" s="77"/>
      <c r="EG221" s="73"/>
      <c r="EH221" s="73"/>
      <c r="EI221" s="83"/>
      <c r="EJ221" s="73"/>
      <c r="EK221" s="77"/>
      <c r="EL221" s="147"/>
      <c r="EM221" s="72"/>
      <c r="EN221" s="74"/>
      <c r="EO221" s="73"/>
      <c r="EP221" s="72"/>
      <c r="EQ221" s="72"/>
      <c r="ER221" s="75"/>
      <c r="ES221" s="76"/>
      <c r="ET221" s="77"/>
      <c r="EU221" s="77"/>
      <c r="EV221" s="78"/>
      <c r="EW221" s="72"/>
      <c r="EX221" s="72"/>
      <c r="EY221" s="72"/>
      <c r="EZ221" s="72"/>
      <c r="FA221" s="72"/>
      <c r="FB221" s="72"/>
      <c r="FC221" s="72"/>
      <c r="FD221" s="147"/>
      <c r="FE221" s="72"/>
      <c r="FF221" s="72"/>
      <c r="FG221" s="72"/>
      <c r="FO221" s="147"/>
      <c r="FP221" s="72"/>
      <c r="FQ221" s="72"/>
      <c r="FR221" s="72"/>
    </row>
    <row r="222" spans="1:181" s="71" customFormat="1" x14ac:dyDescent="0.25">
      <c r="B222" s="70"/>
      <c r="C222" s="70"/>
      <c r="D222" s="70"/>
      <c r="E222" s="147"/>
      <c r="G222" s="72"/>
      <c r="H222" s="72"/>
      <c r="I222" s="72"/>
      <c r="J222" s="72"/>
      <c r="K222" s="72"/>
      <c r="L222" s="147"/>
      <c r="M222" s="150"/>
      <c r="N222" s="72"/>
      <c r="O222" s="72"/>
      <c r="P222" s="72"/>
      <c r="Q222" s="72"/>
      <c r="R222" s="72"/>
      <c r="S222" s="72"/>
      <c r="T222" s="72"/>
      <c r="U222" s="72"/>
      <c r="V222" s="72"/>
      <c r="W222" s="72"/>
      <c r="X222" s="72"/>
      <c r="Y222" s="72"/>
      <c r="Z222" s="72"/>
      <c r="AA222" s="72"/>
      <c r="AB222" s="72"/>
      <c r="AC222" s="72"/>
      <c r="AD222" s="72"/>
      <c r="AE222" s="72"/>
      <c r="AF222" s="72"/>
      <c r="AG222" s="72"/>
      <c r="AH222" s="72"/>
      <c r="AI222" s="72"/>
      <c r="AJ222" s="72"/>
      <c r="AK222" s="72"/>
      <c r="AL222" s="72"/>
      <c r="AM222" s="72"/>
      <c r="AN222" s="72"/>
      <c r="AO222" s="72"/>
      <c r="AP222" s="72"/>
      <c r="AQ222" s="72"/>
      <c r="AR222" s="72"/>
      <c r="AS222" s="72"/>
      <c r="AT222" s="72"/>
      <c r="AU222" s="72"/>
      <c r="AV222" s="72"/>
      <c r="AW222" s="72"/>
      <c r="AX222" s="72"/>
      <c r="AY222" s="72"/>
      <c r="AZ222" s="72"/>
      <c r="BA222" s="147"/>
      <c r="BB222" s="72"/>
      <c r="BC222" s="72"/>
      <c r="BD222" s="72"/>
      <c r="BE222" s="72"/>
      <c r="BF222" s="147"/>
      <c r="BG222" s="83"/>
      <c r="BH222" s="73"/>
      <c r="BI222" s="147"/>
      <c r="BJ222" s="77"/>
      <c r="BK222" s="73"/>
      <c r="BL222" s="73"/>
      <c r="BM222" s="77"/>
      <c r="BN222" s="73"/>
      <c r="BO222" s="73"/>
      <c r="BP222" s="147"/>
      <c r="BQ222" s="83"/>
      <c r="BR222" s="73"/>
      <c r="BS222" s="77"/>
      <c r="BT222" s="147"/>
      <c r="BU222" s="77"/>
      <c r="BV222" s="77"/>
      <c r="BW222" s="83"/>
      <c r="BX222" s="73"/>
      <c r="BY222" s="77"/>
      <c r="BZ222" s="73"/>
      <c r="CA222" s="73"/>
      <c r="CB222" s="77"/>
      <c r="CC222" s="73"/>
      <c r="CD222" s="73"/>
      <c r="CE222" s="83"/>
      <c r="CF222" s="73"/>
      <c r="CG222" s="77"/>
      <c r="CH222" s="147"/>
      <c r="CI222" s="77"/>
      <c r="CJ222" s="77"/>
      <c r="CK222" s="83"/>
      <c r="CL222" s="73"/>
      <c r="CM222" s="77"/>
      <c r="CN222" s="73"/>
      <c r="CO222" s="73"/>
      <c r="CP222" s="77"/>
      <c r="CQ222" s="73"/>
      <c r="CR222" s="73"/>
      <c r="CS222" s="83"/>
      <c r="CT222" s="73"/>
      <c r="CU222" s="77"/>
      <c r="CV222" s="147"/>
      <c r="CW222" s="77"/>
      <c r="CX222" s="77"/>
      <c r="CY222" s="83"/>
      <c r="CZ222" s="73"/>
      <c r="DA222" s="77"/>
      <c r="DB222" s="73"/>
      <c r="DC222" s="73"/>
      <c r="DD222" s="77"/>
      <c r="DE222" s="73"/>
      <c r="DF222" s="73"/>
      <c r="DG222" s="83"/>
      <c r="DH222" s="73"/>
      <c r="DI222" s="77"/>
      <c r="DJ222" s="147"/>
      <c r="DK222" s="77"/>
      <c r="DL222" s="77"/>
      <c r="DM222" s="83"/>
      <c r="DN222" s="73"/>
      <c r="DO222" s="77"/>
      <c r="DP222" s="73"/>
      <c r="DQ222" s="73"/>
      <c r="DR222" s="77"/>
      <c r="DS222" s="73"/>
      <c r="DT222" s="73"/>
      <c r="DU222" s="83"/>
      <c r="DV222" s="73"/>
      <c r="DW222" s="77"/>
      <c r="DX222" s="147"/>
      <c r="DY222" s="77"/>
      <c r="DZ222" s="77"/>
      <c r="EA222" s="83"/>
      <c r="EB222" s="73"/>
      <c r="EC222" s="77"/>
      <c r="ED222" s="73"/>
      <c r="EE222" s="73"/>
      <c r="EF222" s="77"/>
      <c r="EG222" s="73"/>
      <c r="EH222" s="73"/>
      <c r="EI222" s="83"/>
      <c r="EJ222" s="73"/>
      <c r="EK222" s="77"/>
      <c r="EL222" s="147"/>
      <c r="EM222" s="72"/>
      <c r="EN222" s="74"/>
      <c r="EO222" s="73"/>
      <c r="EP222" s="72"/>
      <c r="EQ222" s="72"/>
      <c r="ER222" s="75"/>
      <c r="ES222" s="76"/>
      <c r="ET222" s="77"/>
      <c r="EU222" s="77"/>
      <c r="EV222" s="78"/>
      <c r="EW222" s="72"/>
      <c r="EX222" s="72"/>
      <c r="EY222" s="72"/>
      <c r="EZ222" s="72"/>
      <c r="FA222" s="72"/>
      <c r="FB222" s="72"/>
      <c r="FC222" s="72"/>
      <c r="FD222" s="147"/>
      <c r="FE222" s="72"/>
      <c r="FF222" s="72"/>
      <c r="FG222" s="72"/>
      <c r="FO222" s="147"/>
      <c r="FP222" s="72"/>
      <c r="FQ222" s="72"/>
      <c r="FR222" s="72"/>
    </row>
    <row r="225" spans="1:174" s="153" customFormat="1" x14ac:dyDescent="0.2">
      <c r="A225" s="153" t="s">
        <v>512</v>
      </c>
    </row>
    <row r="228" spans="1:174" s="153" customFormat="1" x14ac:dyDescent="0.2">
      <c r="A228" s="153" t="s">
        <v>511</v>
      </c>
    </row>
    <row r="229" spans="1:174" s="71" customFormat="1" ht="16.350000000000001" customHeight="1" x14ac:dyDescent="0.25">
      <c r="A229" s="109"/>
      <c r="B229" s="70"/>
      <c r="C229" s="110"/>
      <c r="D229" s="110"/>
      <c r="E229" s="146"/>
      <c r="F229" s="109" t="str">
        <f>mehrsprachigkeitBegriffsrückgabe(gewählteSpracheZurückgeben(), "Product (foreign language)")</f>
        <v>Produkt (Fremdsprache)</v>
      </c>
      <c r="G229" s="111"/>
      <c r="H229" s="111" t="s">
        <v>344</v>
      </c>
      <c r="I229" s="111" t="s">
        <v>94</v>
      </c>
      <c r="J229" s="111" t="s">
        <v>425</v>
      </c>
      <c r="K229" s="111"/>
      <c r="L229" s="146"/>
      <c r="M229" s="149"/>
      <c r="N229" s="111"/>
      <c r="O229" s="111"/>
      <c r="P229" s="111"/>
      <c r="Q229" s="111"/>
      <c r="R229" s="111"/>
      <c r="S229" s="111"/>
      <c r="T229" s="111"/>
      <c r="U229" s="111"/>
      <c r="V229" s="111"/>
      <c r="W229" s="111"/>
      <c r="X229" s="111"/>
      <c r="Y229" s="111"/>
      <c r="Z229" s="111"/>
      <c r="AA229" s="111"/>
      <c r="AB229" s="111"/>
      <c r="AC229" s="111"/>
      <c r="AD229" s="111"/>
      <c r="AE229" s="111"/>
      <c r="AF229" s="111"/>
      <c r="AG229" s="111"/>
      <c r="AH229" s="111"/>
      <c r="AI229" s="111"/>
      <c r="AJ229" s="111"/>
      <c r="AK229" s="111"/>
      <c r="AL229" s="111"/>
      <c r="AM229" s="111"/>
      <c r="AN229" s="111"/>
      <c r="AO229" s="111"/>
      <c r="AP229" s="111"/>
      <c r="AQ229" s="111"/>
      <c r="AR229" s="111"/>
      <c r="AS229" s="111"/>
      <c r="AT229" s="111"/>
      <c r="AU229" s="111"/>
      <c r="AV229" s="111"/>
      <c r="AW229" s="111"/>
      <c r="AX229" s="111"/>
      <c r="AY229" s="111"/>
      <c r="AZ229" s="111"/>
      <c r="BA229" s="146"/>
      <c r="BB229" s="104" t="s">
        <v>99</v>
      </c>
      <c r="BC229" s="72" t="s">
        <v>95</v>
      </c>
      <c r="BD229" s="72"/>
      <c r="BE229" s="72"/>
      <c r="BF229" s="146"/>
      <c r="BG229" s="112"/>
      <c r="BH229" s="113"/>
      <c r="BI229" s="146"/>
      <c r="BJ229" s="105"/>
      <c r="BK229" s="113"/>
      <c r="BL229" s="113"/>
      <c r="BM229" s="105"/>
      <c r="BN229" s="113"/>
      <c r="BO229" s="113"/>
      <c r="BP229" s="146"/>
      <c r="BQ229" s="112" t="s">
        <v>113</v>
      </c>
      <c r="BR229" s="113"/>
      <c r="BS229" s="105"/>
      <c r="BT229" s="146"/>
      <c r="BU229" s="105"/>
      <c r="BV229" s="105"/>
      <c r="BW229" s="112"/>
      <c r="BX229" s="113"/>
      <c r="BY229" s="105"/>
      <c r="BZ229" s="113"/>
      <c r="CA229" s="113"/>
      <c r="CB229" s="105"/>
      <c r="CC229" s="113"/>
      <c r="CD229" s="113"/>
      <c r="CE229" s="112"/>
      <c r="CF229" s="113"/>
      <c r="CG229" s="105"/>
      <c r="CH229" s="146"/>
      <c r="CI229" s="105"/>
      <c r="CJ229" s="105"/>
      <c r="CK229" s="112"/>
      <c r="CL229" s="113"/>
      <c r="CM229" s="105"/>
      <c r="CN229" s="113"/>
      <c r="CO229" s="113"/>
      <c r="CP229" s="105"/>
      <c r="CQ229" s="113"/>
      <c r="CR229" s="113"/>
      <c r="CS229" s="112"/>
      <c r="CT229" s="113"/>
      <c r="CU229" s="105"/>
      <c r="CV229" s="146"/>
      <c r="CW229" s="105"/>
      <c r="CX229" s="105"/>
      <c r="CY229" s="112"/>
      <c r="CZ229" s="113"/>
      <c r="DA229" s="105"/>
      <c r="DB229" s="113"/>
      <c r="DC229" s="113"/>
      <c r="DD229" s="105"/>
      <c r="DE229" s="113"/>
      <c r="DF229" s="113"/>
      <c r="DG229" s="112"/>
      <c r="DH229" s="113"/>
      <c r="DI229" s="105"/>
      <c r="DJ229" s="146"/>
      <c r="DK229" s="105"/>
      <c r="DL229" s="105"/>
      <c r="DM229" s="112"/>
      <c r="DN229" s="113"/>
      <c r="DO229" s="105"/>
      <c r="DP229" s="113"/>
      <c r="DQ229" s="113"/>
      <c r="DR229" s="105"/>
      <c r="DS229" s="113"/>
      <c r="DT229" s="113"/>
      <c r="DU229" s="112"/>
      <c r="DV229" s="113"/>
      <c r="DW229" s="105"/>
      <c r="DX229" s="146"/>
      <c r="DY229" s="105"/>
      <c r="DZ229" s="105"/>
      <c r="EA229" s="112"/>
      <c r="EB229" s="113"/>
      <c r="EC229" s="105"/>
      <c r="ED229" s="113"/>
      <c r="EE229" s="113"/>
      <c r="EF229" s="105"/>
      <c r="EG229" s="113"/>
      <c r="EH229" s="113"/>
      <c r="EI229" s="112"/>
      <c r="EJ229" s="113"/>
      <c r="EK229" s="105"/>
      <c r="EL229" s="146"/>
      <c r="EM229" s="72"/>
      <c r="EN229" s="74"/>
      <c r="EO229" s="73"/>
      <c r="EP229" s="72" t="s">
        <v>96</v>
      </c>
      <c r="EQ229" s="72"/>
      <c r="ER229" s="75"/>
      <c r="ES229" s="76"/>
      <c r="ET229" s="77"/>
      <c r="EU229" s="77"/>
      <c r="EV229" s="78"/>
      <c r="EW229" s="72"/>
      <c r="EX229" s="72"/>
      <c r="EY229" s="72"/>
      <c r="EZ229" s="72"/>
      <c r="FA229" s="72"/>
      <c r="FB229" s="78"/>
      <c r="FC229" s="78"/>
      <c r="FD229" s="146"/>
      <c r="FE229" s="78"/>
      <c r="FF229" s="78"/>
      <c r="FG229" s="78"/>
      <c r="FO229" s="146"/>
      <c r="FP229" s="78"/>
      <c r="FQ229" s="78"/>
      <c r="FR229" s="78"/>
    </row>
    <row r="232" spans="1:174" s="153" customFormat="1" x14ac:dyDescent="0.2">
      <c r="A232" s="153" t="s">
        <v>510</v>
      </c>
    </row>
    <row r="235" spans="1:174" s="153" customFormat="1" x14ac:dyDescent="0.2">
      <c r="A235" s="153" t="s">
        <v>506</v>
      </c>
    </row>
    <row r="236" spans="1:174" s="71" customFormat="1" ht="16.350000000000001" customHeight="1" x14ac:dyDescent="0.25">
      <c r="B236" s="70"/>
      <c r="C236" s="70"/>
      <c r="D236" s="110">
        <v>1</v>
      </c>
      <c r="E236" s="146"/>
      <c r="F236" s="71" t="str">
        <f>mehrsprachigkeitBegriffsrückgabe(gewählteSpracheZurückgeben(), "Variant")</f>
        <v>Variante</v>
      </c>
      <c r="G236" s="72" t="s">
        <v>345</v>
      </c>
      <c r="H236" s="72"/>
      <c r="I236" s="72" t="s">
        <v>86</v>
      </c>
      <c r="J236" s="72" t="s">
        <v>505</v>
      </c>
      <c r="K236" s="72"/>
      <c r="L236" s="146"/>
      <c r="M236" s="150" t="s">
        <v>481</v>
      </c>
      <c r="N236" s="72" t="s">
        <v>483</v>
      </c>
      <c r="O236" s="114" t="s">
        <v>486</v>
      </c>
      <c r="P236" s="114" t="s">
        <v>487</v>
      </c>
      <c r="Q236" s="72"/>
      <c r="R236" s="72"/>
      <c r="S236" s="72"/>
      <c r="T236" s="72"/>
      <c r="U236" s="72"/>
      <c r="V236" s="72"/>
      <c r="W236" s="72"/>
      <c r="X236" s="72"/>
      <c r="Y236" s="72"/>
      <c r="Z236" s="72"/>
      <c r="AA236" s="72"/>
      <c r="AB236" s="72"/>
      <c r="AC236" s="72"/>
      <c r="AD236" s="72"/>
      <c r="AE236" s="72"/>
      <c r="AF236" s="72"/>
      <c r="AG236" s="72"/>
      <c r="AH236" s="72"/>
      <c r="AI236" s="72"/>
      <c r="AJ236" s="72"/>
      <c r="AK236" s="72"/>
      <c r="AL236" s="72"/>
      <c r="AM236" s="72"/>
      <c r="AN236" s="72"/>
      <c r="AO236" s="72"/>
      <c r="AP236" s="72"/>
      <c r="AQ236" s="72"/>
      <c r="AR236" s="72"/>
      <c r="AS236" s="72"/>
      <c r="AT236" s="72"/>
      <c r="AU236" s="72"/>
      <c r="AV236" s="72"/>
      <c r="AW236" s="72"/>
      <c r="AX236" s="72"/>
      <c r="AY236" s="72"/>
      <c r="AZ236" s="72"/>
      <c r="BA236" s="146"/>
      <c r="BB236" s="104"/>
      <c r="BC236" s="72"/>
      <c r="BD236" s="72"/>
      <c r="BE236" s="72"/>
      <c r="BF236" s="146"/>
      <c r="BG236" s="112">
        <v>79</v>
      </c>
      <c r="BH236" s="113" t="str">
        <f>mehrsprachigkeitBegriffsrückgabe(gewählteSpracheZurückgeben(), "Independent price")</f>
        <v>Eigenständiger Preis</v>
      </c>
      <c r="BI236" s="146"/>
      <c r="BJ236" s="105"/>
      <c r="BK236" s="113"/>
      <c r="BL236" s="113"/>
      <c r="BM236" s="105"/>
      <c r="BN236" s="113"/>
      <c r="BO236" s="113"/>
      <c r="BP236" s="146"/>
      <c r="BQ236" s="112"/>
      <c r="BR236" s="113"/>
      <c r="BS236" s="105"/>
      <c r="BT236" s="146"/>
      <c r="BU236" s="105"/>
      <c r="BV236" s="105"/>
      <c r="BW236" s="112"/>
      <c r="BX236" s="113"/>
      <c r="BY236" s="105"/>
      <c r="BZ236" s="113"/>
      <c r="CA236" s="113"/>
      <c r="CB236" s="105"/>
      <c r="CC236" s="113"/>
      <c r="CD236" s="113"/>
      <c r="CE236" s="112"/>
      <c r="CF236" s="113"/>
      <c r="CG236" s="105"/>
      <c r="CH236" s="146"/>
      <c r="CI236" s="105"/>
      <c r="CJ236" s="105"/>
      <c r="CK236" s="112"/>
      <c r="CL236" s="113"/>
      <c r="CM236" s="105"/>
      <c r="CN236" s="113"/>
      <c r="CO236" s="113"/>
      <c r="CP236" s="105"/>
      <c r="CQ236" s="113"/>
      <c r="CR236" s="113"/>
      <c r="CS236" s="112"/>
      <c r="CT236" s="113"/>
      <c r="CU236" s="105"/>
      <c r="CV236" s="146"/>
      <c r="CW236" s="105"/>
      <c r="CX236" s="105"/>
      <c r="CY236" s="112"/>
      <c r="CZ236" s="113"/>
      <c r="DA236" s="105"/>
      <c r="DB236" s="113"/>
      <c r="DC236" s="113"/>
      <c r="DD236" s="105"/>
      <c r="DE236" s="113"/>
      <c r="DF236" s="113"/>
      <c r="DG236" s="112"/>
      <c r="DH236" s="113"/>
      <c r="DI236" s="105"/>
      <c r="DJ236" s="146"/>
      <c r="DK236" s="105"/>
      <c r="DL236" s="105"/>
      <c r="DM236" s="112"/>
      <c r="DN236" s="113"/>
      <c r="DO236" s="105"/>
      <c r="DP236" s="113"/>
      <c r="DQ236" s="113"/>
      <c r="DR236" s="105"/>
      <c r="DS236" s="113"/>
      <c r="DT236" s="113"/>
      <c r="DU236" s="112"/>
      <c r="DV236" s="113"/>
      <c r="DW236" s="105"/>
      <c r="DX236" s="146"/>
      <c r="DY236" s="105"/>
      <c r="DZ236" s="105"/>
      <c r="EA236" s="112"/>
      <c r="EB236" s="113"/>
      <c r="EC236" s="105"/>
      <c r="ED236" s="113"/>
      <c r="EE236" s="113"/>
      <c r="EF236" s="105"/>
      <c r="EG236" s="113"/>
      <c r="EH236" s="113"/>
      <c r="EI236" s="112"/>
      <c r="EJ236" s="113"/>
      <c r="EK236" s="105"/>
      <c r="EL236" s="146"/>
      <c r="EM236" s="72"/>
      <c r="EN236" s="74"/>
      <c r="EO236" s="73"/>
      <c r="EP236" s="72"/>
      <c r="EQ236" s="72"/>
      <c r="ER236" s="75"/>
      <c r="ES236" s="76"/>
      <c r="ET236" s="77"/>
      <c r="EU236" s="77"/>
      <c r="EV236" s="78"/>
      <c r="EW236" s="72" t="s">
        <v>113</v>
      </c>
      <c r="EX236" s="72" t="s">
        <v>113</v>
      </c>
      <c r="EY236" s="72" t="s">
        <v>97</v>
      </c>
      <c r="EZ236" s="72" t="s">
        <v>114</v>
      </c>
      <c r="FA236" s="72"/>
      <c r="FB236" s="78"/>
      <c r="FC236" s="78"/>
      <c r="FD236" s="146"/>
      <c r="FE236" s="78"/>
      <c r="FF236" s="78"/>
      <c r="FG236" s="78"/>
      <c r="FO236" s="146"/>
      <c r="FP236" s="78"/>
      <c r="FQ236" s="78"/>
      <c r="FR236" s="78"/>
    </row>
    <row r="237" spans="1:174" s="71" customFormat="1" ht="16.350000000000001" customHeight="1" x14ac:dyDescent="0.25">
      <c r="B237" s="70"/>
      <c r="C237" s="70"/>
      <c r="D237" s="110">
        <v>1</v>
      </c>
      <c r="E237" s="146"/>
      <c r="F237" s="71" t="str">
        <f>mehrsprachigkeitBegriffsrückgabe(gewählteSpracheZurückgeben(), "Variant")</f>
        <v>Variante</v>
      </c>
      <c r="G237" s="72" t="s">
        <v>345</v>
      </c>
      <c r="H237" s="72"/>
      <c r="I237" s="72" t="s">
        <v>86</v>
      </c>
      <c r="J237" s="72" t="s">
        <v>505</v>
      </c>
      <c r="K237" s="72"/>
      <c r="L237" s="146"/>
      <c r="M237" s="150" t="s">
        <v>481</v>
      </c>
      <c r="N237" s="72" t="s">
        <v>483</v>
      </c>
      <c r="O237" s="114" t="s">
        <v>486</v>
      </c>
      <c r="P237" s="114" t="s">
        <v>488</v>
      </c>
      <c r="Q237" s="72"/>
      <c r="R237" s="72"/>
      <c r="S237" s="72"/>
      <c r="T237" s="72"/>
      <c r="U237" s="72"/>
      <c r="V237" s="72"/>
      <c r="W237" s="72"/>
      <c r="X237" s="72"/>
      <c r="Y237" s="72"/>
      <c r="Z237" s="72"/>
      <c r="AA237" s="72"/>
      <c r="AB237" s="72"/>
      <c r="AC237" s="72"/>
      <c r="AD237" s="72"/>
      <c r="AE237" s="72"/>
      <c r="AF237" s="72"/>
      <c r="AG237" s="72"/>
      <c r="AH237" s="72"/>
      <c r="AI237" s="72"/>
      <c r="AJ237" s="72"/>
      <c r="AK237" s="72"/>
      <c r="AL237" s="72"/>
      <c r="AM237" s="72"/>
      <c r="AN237" s="72"/>
      <c r="AO237" s="72"/>
      <c r="AP237" s="72"/>
      <c r="AQ237" s="72"/>
      <c r="AR237" s="72"/>
      <c r="AS237" s="72"/>
      <c r="AT237" s="72"/>
      <c r="AU237" s="72"/>
      <c r="AV237" s="72"/>
      <c r="AW237" s="72"/>
      <c r="AX237" s="72"/>
      <c r="AY237" s="72"/>
      <c r="AZ237" s="72"/>
      <c r="BA237" s="146"/>
      <c r="BB237" s="104"/>
      <c r="BC237" s="72"/>
      <c r="BD237" s="72"/>
      <c r="BE237" s="72"/>
      <c r="BF237" s="146"/>
      <c r="BG237" s="112">
        <v>79</v>
      </c>
      <c r="BH237" s="113" t="str">
        <f>mehrsprachigkeitBegriffsrückgabe(gewählteSpracheZurückgeben(), "Independent price")</f>
        <v>Eigenständiger Preis</v>
      </c>
      <c r="BI237" s="146"/>
      <c r="BJ237" s="105"/>
      <c r="BK237" s="113"/>
      <c r="BL237" s="113"/>
      <c r="BM237" s="105"/>
      <c r="BN237" s="113"/>
      <c r="BO237" s="113"/>
      <c r="BP237" s="146"/>
      <c r="BQ237" s="112"/>
      <c r="BR237" s="113"/>
      <c r="BS237" s="105"/>
      <c r="BT237" s="146"/>
      <c r="BU237" s="105"/>
      <c r="BV237" s="105"/>
      <c r="BW237" s="112"/>
      <c r="BX237" s="113"/>
      <c r="BY237" s="105"/>
      <c r="BZ237" s="113"/>
      <c r="CA237" s="113"/>
      <c r="CB237" s="105"/>
      <c r="CC237" s="113"/>
      <c r="CD237" s="113"/>
      <c r="CE237" s="112"/>
      <c r="CF237" s="113"/>
      <c r="CG237" s="105"/>
      <c r="CH237" s="146"/>
      <c r="CI237" s="105"/>
      <c r="CJ237" s="105"/>
      <c r="CK237" s="112"/>
      <c r="CL237" s="113"/>
      <c r="CM237" s="105"/>
      <c r="CN237" s="113"/>
      <c r="CO237" s="113"/>
      <c r="CP237" s="105"/>
      <c r="CQ237" s="113"/>
      <c r="CR237" s="113"/>
      <c r="CS237" s="112"/>
      <c r="CT237" s="113"/>
      <c r="CU237" s="105"/>
      <c r="CV237" s="146"/>
      <c r="CW237" s="105"/>
      <c r="CX237" s="105"/>
      <c r="CY237" s="112"/>
      <c r="CZ237" s="113"/>
      <c r="DA237" s="105"/>
      <c r="DB237" s="113"/>
      <c r="DC237" s="113"/>
      <c r="DD237" s="105"/>
      <c r="DE237" s="113"/>
      <c r="DF237" s="113"/>
      <c r="DG237" s="112"/>
      <c r="DH237" s="113"/>
      <c r="DI237" s="105"/>
      <c r="DJ237" s="146"/>
      <c r="DK237" s="105"/>
      <c r="DL237" s="105"/>
      <c r="DM237" s="112"/>
      <c r="DN237" s="113"/>
      <c r="DO237" s="105"/>
      <c r="DP237" s="113"/>
      <c r="DQ237" s="113"/>
      <c r="DR237" s="105"/>
      <c r="DS237" s="113"/>
      <c r="DT237" s="113"/>
      <c r="DU237" s="112"/>
      <c r="DV237" s="113"/>
      <c r="DW237" s="105"/>
      <c r="DX237" s="146"/>
      <c r="DY237" s="105"/>
      <c r="DZ237" s="105"/>
      <c r="EA237" s="112"/>
      <c r="EB237" s="113"/>
      <c r="EC237" s="105"/>
      <c r="ED237" s="113"/>
      <c r="EE237" s="113"/>
      <c r="EF237" s="105"/>
      <c r="EG237" s="113"/>
      <c r="EH237" s="113"/>
      <c r="EI237" s="112"/>
      <c r="EJ237" s="113"/>
      <c r="EK237" s="105"/>
      <c r="EL237" s="146"/>
      <c r="EM237" s="72"/>
      <c r="EN237" s="74"/>
      <c r="EO237" s="73"/>
      <c r="EP237" s="72"/>
      <c r="EQ237" s="72"/>
      <c r="ER237" s="75"/>
      <c r="ES237" s="76"/>
      <c r="ET237" s="77"/>
      <c r="EU237" s="77"/>
      <c r="EV237" s="78"/>
      <c r="EW237" s="72" t="s">
        <v>113</v>
      </c>
      <c r="EX237" s="72" t="s">
        <v>113</v>
      </c>
      <c r="EY237" s="72" t="s">
        <v>97</v>
      </c>
      <c r="EZ237" s="72" t="s">
        <v>114</v>
      </c>
      <c r="FA237" s="72"/>
      <c r="FB237" s="78"/>
      <c r="FC237" s="78"/>
      <c r="FD237" s="146"/>
      <c r="FE237" s="78"/>
      <c r="FF237" s="78"/>
      <c r="FG237" s="78"/>
      <c r="FO237" s="146"/>
      <c r="FP237" s="78"/>
      <c r="FQ237" s="78"/>
      <c r="FR237" s="78"/>
    </row>
    <row r="238" spans="1:174" s="71" customFormat="1" ht="16.350000000000001" customHeight="1" x14ac:dyDescent="0.25">
      <c r="B238" s="70"/>
      <c r="C238" s="70"/>
      <c r="D238" s="110">
        <v>1</v>
      </c>
      <c r="E238" s="146"/>
      <c r="F238" s="71" t="str">
        <f>mehrsprachigkeitBegriffsrückgabe(gewählteSpracheZurückgeben(), "Variant")</f>
        <v>Variante</v>
      </c>
      <c r="G238" s="72" t="s">
        <v>345</v>
      </c>
      <c r="H238" s="72"/>
      <c r="I238" s="72" t="s">
        <v>86</v>
      </c>
      <c r="J238" s="72" t="s">
        <v>505</v>
      </c>
      <c r="K238" s="72"/>
      <c r="L238" s="146"/>
      <c r="M238" s="150" t="s">
        <v>481</v>
      </c>
      <c r="N238" s="72" t="s">
        <v>483</v>
      </c>
      <c r="O238" s="114" t="s">
        <v>486</v>
      </c>
      <c r="P238" s="114" t="s">
        <v>489</v>
      </c>
      <c r="Q238" s="72"/>
      <c r="R238" s="72"/>
      <c r="S238" s="72"/>
      <c r="T238" s="72"/>
      <c r="U238" s="72"/>
      <c r="V238" s="72"/>
      <c r="W238" s="72"/>
      <c r="X238" s="72"/>
      <c r="Y238" s="72"/>
      <c r="Z238" s="72"/>
      <c r="AA238" s="72"/>
      <c r="AB238" s="72"/>
      <c r="AC238" s="72"/>
      <c r="AD238" s="72"/>
      <c r="AE238" s="72"/>
      <c r="AF238" s="72"/>
      <c r="AG238" s="72"/>
      <c r="AH238" s="72"/>
      <c r="AI238" s="72"/>
      <c r="AJ238" s="72"/>
      <c r="AK238" s="72"/>
      <c r="AL238" s="72"/>
      <c r="AM238" s="72"/>
      <c r="AN238" s="72"/>
      <c r="AO238" s="72"/>
      <c r="AP238" s="72"/>
      <c r="AQ238" s="72"/>
      <c r="AR238" s="72"/>
      <c r="AS238" s="72"/>
      <c r="AT238" s="72"/>
      <c r="AU238" s="72"/>
      <c r="AV238" s="72"/>
      <c r="AW238" s="72"/>
      <c r="AX238" s="72"/>
      <c r="AY238" s="72"/>
      <c r="AZ238" s="72"/>
      <c r="BA238" s="146"/>
      <c r="BB238" s="104"/>
      <c r="BC238" s="72"/>
      <c r="BD238" s="72"/>
      <c r="BE238" s="72"/>
      <c r="BF238" s="146"/>
      <c r="BG238" s="112">
        <v>79</v>
      </c>
      <c r="BH238" s="113" t="str">
        <f>mehrsprachigkeitBegriffsrückgabe(gewählteSpracheZurückgeben(), "Independent price")</f>
        <v>Eigenständiger Preis</v>
      </c>
      <c r="BI238" s="146"/>
      <c r="BJ238" s="105"/>
      <c r="BK238" s="113"/>
      <c r="BL238" s="113"/>
      <c r="BM238" s="105"/>
      <c r="BN238" s="113"/>
      <c r="BO238" s="113"/>
      <c r="BP238" s="146"/>
      <c r="BQ238" s="112"/>
      <c r="BR238" s="113"/>
      <c r="BS238" s="105"/>
      <c r="BT238" s="146"/>
      <c r="BU238" s="105"/>
      <c r="BV238" s="105"/>
      <c r="BW238" s="112"/>
      <c r="BX238" s="113"/>
      <c r="BY238" s="105"/>
      <c r="BZ238" s="113"/>
      <c r="CA238" s="113"/>
      <c r="CB238" s="105"/>
      <c r="CC238" s="113"/>
      <c r="CD238" s="113"/>
      <c r="CE238" s="112"/>
      <c r="CF238" s="113"/>
      <c r="CG238" s="105"/>
      <c r="CH238" s="146"/>
      <c r="CI238" s="105"/>
      <c r="CJ238" s="105"/>
      <c r="CK238" s="112"/>
      <c r="CL238" s="113"/>
      <c r="CM238" s="105"/>
      <c r="CN238" s="113"/>
      <c r="CO238" s="113"/>
      <c r="CP238" s="105"/>
      <c r="CQ238" s="113"/>
      <c r="CR238" s="113"/>
      <c r="CS238" s="112"/>
      <c r="CT238" s="113"/>
      <c r="CU238" s="105"/>
      <c r="CV238" s="146"/>
      <c r="CW238" s="105"/>
      <c r="CX238" s="105"/>
      <c r="CY238" s="112"/>
      <c r="CZ238" s="113"/>
      <c r="DA238" s="105"/>
      <c r="DB238" s="113"/>
      <c r="DC238" s="113"/>
      <c r="DD238" s="105"/>
      <c r="DE238" s="113"/>
      <c r="DF238" s="113"/>
      <c r="DG238" s="112"/>
      <c r="DH238" s="113"/>
      <c r="DI238" s="105"/>
      <c r="DJ238" s="146"/>
      <c r="DK238" s="105"/>
      <c r="DL238" s="105"/>
      <c r="DM238" s="112"/>
      <c r="DN238" s="113"/>
      <c r="DO238" s="105"/>
      <c r="DP238" s="113"/>
      <c r="DQ238" s="113"/>
      <c r="DR238" s="105"/>
      <c r="DS238" s="113"/>
      <c r="DT238" s="113"/>
      <c r="DU238" s="112"/>
      <c r="DV238" s="113"/>
      <c r="DW238" s="105"/>
      <c r="DX238" s="146"/>
      <c r="DY238" s="105"/>
      <c r="DZ238" s="105"/>
      <c r="EA238" s="112"/>
      <c r="EB238" s="113"/>
      <c r="EC238" s="105"/>
      <c r="ED238" s="113"/>
      <c r="EE238" s="113"/>
      <c r="EF238" s="105"/>
      <c r="EG238" s="113"/>
      <c r="EH238" s="113"/>
      <c r="EI238" s="112"/>
      <c r="EJ238" s="113"/>
      <c r="EK238" s="105"/>
      <c r="EL238" s="146"/>
      <c r="EM238" s="72"/>
      <c r="EN238" s="74"/>
      <c r="EO238" s="73"/>
      <c r="EP238" s="72"/>
      <c r="EQ238" s="72"/>
      <c r="ER238" s="75"/>
      <c r="ES238" s="76"/>
      <c r="ET238" s="77"/>
      <c r="EU238" s="77"/>
      <c r="EV238" s="78"/>
      <c r="EW238" s="72" t="s">
        <v>113</v>
      </c>
      <c r="EX238" s="72" t="s">
        <v>113</v>
      </c>
      <c r="EY238" s="72" t="s">
        <v>97</v>
      </c>
      <c r="EZ238" s="72" t="s">
        <v>114</v>
      </c>
      <c r="FA238" s="72"/>
      <c r="FB238" s="78"/>
      <c r="FC238" s="78"/>
      <c r="FD238" s="146"/>
      <c r="FE238" s="78"/>
      <c r="FF238" s="78"/>
      <c r="FG238" s="78"/>
      <c r="FO238" s="146"/>
      <c r="FP238" s="78"/>
      <c r="FQ238" s="78"/>
      <c r="FR238" s="78"/>
    </row>
    <row r="239" spans="1:174" s="71" customFormat="1" ht="16.350000000000001" customHeight="1" x14ac:dyDescent="0.25">
      <c r="B239" s="70"/>
      <c r="C239" s="70"/>
      <c r="D239" s="110">
        <v>1</v>
      </c>
      <c r="E239" s="146"/>
      <c r="F239" s="71" t="str">
        <f>mehrsprachigkeitBegriffsrückgabe(gewählteSpracheZurückgeben(), "Variant")</f>
        <v>Variante</v>
      </c>
      <c r="G239" s="72" t="s">
        <v>345</v>
      </c>
      <c r="H239" s="72"/>
      <c r="I239" s="72" t="s">
        <v>86</v>
      </c>
      <c r="J239" s="72" t="s">
        <v>505</v>
      </c>
      <c r="K239" s="72"/>
      <c r="L239" s="146"/>
      <c r="M239" s="150" t="s">
        <v>481</v>
      </c>
      <c r="N239" s="72" t="s">
        <v>483</v>
      </c>
      <c r="O239" s="114" t="s">
        <v>486</v>
      </c>
      <c r="P239" s="114" t="s">
        <v>490</v>
      </c>
      <c r="Q239" s="72"/>
      <c r="R239" s="72"/>
      <c r="S239" s="72"/>
      <c r="T239" s="72"/>
      <c r="U239" s="72"/>
      <c r="V239" s="72"/>
      <c r="W239" s="72"/>
      <c r="X239" s="72"/>
      <c r="Y239" s="72"/>
      <c r="Z239" s="72"/>
      <c r="AA239" s="72"/>
      <c r="AB239" s="72"/>
      <c r="AC239" s="72"/>
      <c r="AD239" s="72"/>
      <c r="AE239" s="72"/>
      <c r="AF239" s="72"/>
      <c r="AG239" s="72"/>
      <c r="AH239" s="72"/>
      <c r="AI239" s="72"/>
      <c r="AJ239" s="72"/>
      <c r="AK239" s="72"/>
      <c r="AL239" s="72"/>
      <c r="AM239" s="72"/>
      <c r="AN239" s="72"/>
      <c r="AO239" s="72"/>
      <c r="AP239" s="72"/>
      <c r="AQ239" s="72"/>
      <c r="AR239" s="72"/>
      <c r="AS239" s="72"/>
      <c r="AT239" s="72"/>
      <c r="AU239" s="72"/>
      <c r="AV239" s="72"/>
      <c r="AW239" s="72"/>
      <c r="AX239" s="72"/>
      <c r="AY239" s="72"/>
      <c r="AZ239" s="72"/>
      <c r="BA239" s="146"/>
      <c r="BB239" s="104"/>
      <c r="BC239" s="72"/>
      <c r="BD239" s="72"/>
      <c r="BE239" s="72"/>
      <c r="BF239" s="146"/>
      <c r="BG239" s="112">
        <v>79</v>
      </c>
      <c r="BH239" s="113" t="str">
        <f>mehrsprachigkeitBegriffsrückgabe(gewählteSpracheZurückgeben(), "Independent price")</f>
        <v>Eigenständiger Preis</v>
      </c>
      <c r="BI239" s="146"/>
      <c r="BJ239" s="105"/>
      <c r="BK239" s="113"/>
      <c r="BL239" s="113"/>
      <c r="BM239" s="105"/>
      <c r="BN239" s="113"/>
      <c r="BO239" s="113"/>
      <c r="BP239" s="146"/>
      <c r="BQ239" s="112"/>
      <c r="BR239" s="113"/>
      <c r="BS239" s="105"/>
      <c r="BT239" s="146"/>
      <c r="BU239" s="105"/>
      <c r="BV239" s="105"/>
      <c r="BW239" s="112"/>
      <c r="BX239" s="113"/>
      <c r="BY239" s="105"/>
      <c r="BZ239" s="113"/>
      <c r="CA239" s="113"/>
      <c r="CB239" s="105"/>
      <c r="CC239" s="113"/>
      <c r="CD239" s="113"/>
      <c r="CE239" s="112"/>
      <c r="CF239" s="113"/>
      <c r="CG239" s="105"/>
      <c r="CH239" s="146"/>
      <c r="CI239" s="105"/>
      <c r="CJ239" s="105"/>
      <c r="CK239" s="112"/>
      <c r="CL239" s="113"/>
      <c r="CM239" s="105"/>
      <c r="CN239" s="113"/>
      <c r="CO239" s="113"/>
      <c r="CP239" s="105"/>
      <c r="CQ239" s="113"/>
      <c r="CR239" s="113"/>
      <c r="CS239" s="112"/>
      <c r="CT239" s="113"/>
      <c r="CU239" s="105"/>
      <c r="CV239" s="146"/>
      <c r="CW239" s="105"/>
      <c r="CX239" s="105"/>
      <c r="CY239" s="112"/>
      <c r="CZ239" s="113"/>
      <c r="DA239" s="105"/>
      <c r="DB239" s="113"/>
      <c r="DC239" s="113"/>
      <c r="DD239" s="105"/>
      <c r="DE239" s="113"/>
      <c r="DF239" s="113"/>
      <c r="DG239" s="112"/>
      <c r="DH239" s="113"/>
      <c r="DI239" s="105"/>
      <c r="DJ239" s="146"/>
      <c r="DK239" s="105"/>
      <c r="DL239" s="105"/>
      <c r="DM239" s="112"/>
      <c r="DN239" s="113"/>
      <c r="DO239" s="105"/>
      <c r="DP239" s="113"/>
      <c r="DQ239" s="113"/>
      <c r="DR239" s="105"/>
      <c r="DS239" s="113"/>
      <c r="DT239" s="113"/>
      <c r="DU239" s="112"/>
      <c r="DV239" s="113"/>
      <c r="DW239" s="105"/>
      <c r="DX239" s="146"/>
      <c r="DY239" s="105"/>
      <c r="DZ239" s="105"/>
      <c r="EA239" s="112"/>
      <c r="EB239" s="113"/>
      <c r="EC239" s="105"/>
      <c r="ED239" s="113"/>
      <c r="EE239" s="113"/>
      <c r="EF239" s="105"/>
      <c r="EG239" s="113"/>
      <c r="EH239" s="113"/>
      <c r="EI239" s="112"/>
      <c r="EJ239" s="113"/>
      <c r="EK239" s="105"/>
      <c r="EL239" s="146"/>
      <c r="EM239" s="72"/>
      <c r="EN239" s="74"/>
      <c r="EO239" s="73"/>
      <c r="EP239" s="72"/>
      <c r="EQ239" s="72"/>
      <c r="ER239" s="75"/>
      <c r="ES239" s="76"/>
      <c r="ET239" s="77"/>
      <c r="EU239" s="77"/>
      <c r="EV239" s="78"/>
      <c r="EW239" s="72" t="s">
        <v>113</v>
      </c>
      <c r="EX239" s="72" t="s">
        <v>113</v>
      </c>
      <c r="EY239" s="72" t="s">
        <v>97</v>
      </c>
      <c r="EZ239" s="72" t="s">
        <v>114</v>
      </c>
      <c r="FA239" s="72"/>
      <c r="FB239" s="78"/>
      <c r="FC239" s="78"/>
      <c r="FD239" s="146"/>
      <c r="FE239" s="78"/>
      <c r="FF239" s="78"/>
      <c r="FG239" s="78"/>
      <c r="FO239" s="146"/>
      <c r="FP239" s="78"/>
      <c r="FQ239" s="78"/>
      <c r="FR239" s="78"/>
    </row>
    <row r="240" spans="1:174" s="71" customFormat="1" ht="16.350000000000001" customHeight="1" x14ac:dyDescent="0.25">
      <c r="B240" s="70"/>
      <c r="C240" s="70"/>
      <c r="D240" s="110">
        <v>1</v>
      </c>
      <c r="E240" s="146"/>
      <c r="F240" s="71" t="str">
        <f>mehrsprachigkeitBegriffsrückgabe(gewählteSpracheZurückgeben(), "Variant")</f>
        <v>Variante</v>
      </c>
      <c r="G240" s="72" t="s">
        <v>345</v>
      </c>
      <c r="H240" s="72"/>
      <c r="I240" s="72" t="s">
        <v>86</v>
      </c>
      <c r="J240" s="72" t="s">
        <v>505</v>
      </c>
      <c r="K240" s="72"/>
      <c r="L240" s="146"/>
      <c r="M240" s="150" t="s">
        <v>481</v>
      </c>
      <c r="N240" s="72" t="s">
        <v>483</v>
      </c>
      <c r="O240" s="114" t="s">
        <v>486</v>
      </c>
      <c r="P240" s="114" t="s">
        <v>491</v>
      </c>
      <c r="Q240" s="72"/>
      <c r="R240" s="72"/>
      <c r="S240" s="72"/>
      <c r="T240" s="72"/>
      <c r="U240" s="72"/>
      <c r="V240" s="72"/>
      <c r="W240" s="72"/>
      <c r="X240" s="72"/>
      <c r="Y240" s="72"/>
      <c r="Z240" s="72"/>
      <c r="AA240" s="72"/>
      <c r="AB240" s="72"/>
      <c r="AC240" s="72"/>
      <c r="AD240" s="72"/>
      <c r="AE240" s="72"/>
      <c r="AF240" s="72"/>
      <c r="AG240" s="72"/>
      <c r="AH240" s="72"/>
      <c r="AI240" s="72"/>
      <c r="AJ240" s="72"/>
      <c r="AK240" s="72"/>
      <c r="AL240" s="72"/>
      <c r="AM240" s="72"/>
      <c r="AN240" s="72"/>
      <c r="AO240" s="72"/>
      <c r="AP240" s="72"/>
      <c r="AQ240" s="72"/>
      <c r="AR240" s="72"/>
      <c r="AS240" s="72"/>
      <c r="AT240" s="72"/>
      <c r="AU240" s="72"/>
      <c r="AV240" s="72"/>
      <c r="AW240" s="72"/>
      <c r="AX240" s="72"/>
      <c r="AY240" s="72"/>
      <c r="AZ240" s="72"/>
      <c r="BA240" s="146"/>
      <c r="BB240" s="104"/>
      <c r="BC240" s="72"/>
      <c r="BD240" s="72"/>
      <c r="BE240" s="72"/>
      <c r="BF240" s="146"/>
      <c r="BG240" s="112">
        <v>79</v>
      </c>
      <c r="BH240" s="113" t="str">
        <f>mehrsprachigkeitBegriffsrückgabe(gewählteSpracheZurückgeben(), "Independent price")</f>
        <v>Eigenständiger Preis</v>
      </c>
      <c r="BI240" s="146"/>
      <c r="BJ240" s="105"/>
      <c r="BK240" s="113"/>
      <c r="BL240" s="113"/>
      <c r="BM240" s="105"/>
      <c r="BN240" s="113"/>
      <c r="BO240" s="113"/>
      <c r="BP240" s="146"/>
      <c r="BQ240" s="112"/>
      <c r="BR240" s="113"/>
      <c r="BS240" s="105"/>
      <c r="BT240" s="146"/>
      <c r="BU240" s="105"/>
      <c r="BV240" s="105"/>
      <c r="BW240" s="112"/>
      <c r="BX240" s="113"/>
      <c r="BY240" s="105"/>
      <c r="BZ240" s="113"/>
      <c r="CA240" s="113"/>
      <c r="CB240" s="105"/>
      <c r="CC240" s="113"/>
      <c r="CD240" s="113"/>
      <c r="CE240" s="112"/>
      <c r="CF240" s="113"/>
      <c r="CG240" s="105"/>
      <c r="CH240" s="146"/>
      <c r="CI240" s="105"/>
      <c r="CJ240" s="105"/>
      <c r="CK240" s="112"/>
      <c r="CL240" s="113"/>
      <c r="CM240" s="105"/>
      <c r="CN240" s="113"/>
      <c r="CO240" s="113"/>
      <c r="CP240" s="105"/>
      <c r="CQ240" s="113"/>
      <c r="CR240" s="113"/>
      <c r="CS240" s="112"/>
      <c r="CT240" s="113"/>
      <c r="CU240" s="105"/>
      <c r="CV240" s="146"/>
      <c r="CW240" s="105"/>
      <c r="CX240" s="105"/>
      <c r="CY240" s="112"/>
      <c r="CZ240" s="113"/>
      <c r="DA240" s="105"/>
      <c r="DB240" s="113"/>
      <c r="DC240" s="113"/>
      <c r="DD240" s="105"/>
      <c r="DE240" s="113"/>
      <c r="DF240" s="113"/>
      <c r="DG240" s="112"/>
      <c r="DH240" s="113"/>
      <c r="DI240" s="105"/>
      <c r="DJ240" s="146"/>
      <c r="DK240" s="105"/>
      <c r="DL240" s="105"/>
      <c r="DM240" s="112"/>
      <c r="DN240" s="113"/>
      <c r="DO240" s="105"/>
      <c r="DP240" s="113"/>
      <c r="DQ240" s="113"/>
      <c r="DR240" s="105"/>
      <c r="DS240" s="113"/>
      <c r="DT240" s="113"/>
      <c r="DU240" s="112"/>
      <c r="DV240" s="113"/>
      <c r="DW240" s="105"/>
      <c r="DX240" s="146"/>
      <c r="DY240" s="105"/>
      <c r="DZ240" s="105"/>
      <c r="EA240" s="112"/>
      <c r="EB240" s="113"/>
      <c r="EC240" s="105"/>
      <c r="ED240" s="113"/>
      <c r="EE240" s="113"/>
      <c r="EF240" s="105"/>
      <c r="EG240" s="113"/>
      <c r="EH240" s="113"/>
      <c r="EI240" s="112"/>
      <c r="EJ240" s="113"/>
      <c r="EK240" s="105"/>
      <c r="EL240" s="146"/>
      <c r="EM240" s="72"/>
      <c r="EN240" s="74"/>
      <c r="EO240" s="73"/>
      <c r="EP240" s="72"/>
      <c r="EQ240" s="72"/>
      <c r="ER240" s="75"/>
      <c r="ES240" s="76"/>
      <c r="ET240" s="77"/>
      <c r="EU240" s="77"/>
      <c r="EV240" s="78"/>
      <c r="EW240" s="72" t="s">
        <v>113</v>
      </c>
      <c r="EX240" s="72" t="s">
        <v>113</v>
      </c>
      <c r="EY240" s="72" t="s">
        <v>97</v>
      </c>
      <c r="EZ240" s="72" t="s">
        <v>114</v>
      </c>
      <c r="FA240" s="72"/>
      <c r="FB240" s="78"/>
      <c r="FC240" s="78"/>
      <c r="FD240" s="146"/>
      <c r="FE240" s="78"/>
      <c r="FF240" s="78"/>
      <c r="FG240" s="78"/>
      <c r="FO240" s="146"/>
      <c r="FP240" s="78"/>
      <c r="FQ240" s="78"/>
      <c r="FR240" s="78"/>
    </row>
    <row r="241" spans="2:174" s="71" customFormat="1" ht="16.350000000000001" customHeight="1" x14ac:dyDescent="0.25">
      <c r="B241" s="70"/>
      <c r="C241" s="70"/>
      <c r="D241" s="110">
        <v>1</v>
      </c>
      <c r="E241" s="146"/>
      <c r="F241" s="71" t="str">
        <f>mehrsprachigkeitBegriffsrückgabe(gewählteSpracheZurückgeben(), "Variant")</f>
        <v>Variante</v>
      </c>
      <c r="G241" s="72" t="s">
        <v>345</v>
      </c>
      <c r="H241" s="72"/>
      <c r="I241" s="72" t="s">
        <v>86</v>
      </c>
      <c r="J241" s="72" t="s">
        <v>505</v>
      </c>
      <c r="K241" s="72"/>
      <c r="L241" s="146"/>
      <c r="M241" s="150" t="s">
        <v>481</v>
      </c>
      <c r="N241" s="72" t="s">
        <v>483</v>
      </c>
      <c r="O241" s="114" t="s">
        <v>486</v>
      </c>
      <c r="P241" s="114" t="s">
        <v>492</v>
      </c>
      <c r="Q241" s="72"/>
      <c r="R241" s="72"/>
      <c r="S241" s="72"/>
      <c r="T241" s="72"/>
      <c r="U241" s="72"/>
      <c r="V241" s="72"/>
      <c r="W241" s="72"/>
      <c r="X241" s="72"/>
      <c r="Y241" s="72"/>
      <c r="Z241" s="72"/>
      <c r="AA241" s="72"/>
      <c r="AB241" s="72"/>
      <c r="AC241" s="72"/>
      <c r="AD241" s="72"/>
      <c r="AE241" s="72"/>
      <c r="AF241" s="72"/>
      <c r="AG241" s="72"/>
      <c r="AH241" s="72"/>
      <c r="AI241" s="72"/>
      <c r="AJ241" s="72"/>
      <c r="AK241" s="72"/>
      <c r="AL241" s="72"/>
      <c r="AM241" s="72"/>
      <c r="AN241" s="72"/>
      <c r="AO241" s="72"/>
      <c r="AP241" s="72"/>
      <c r="AQ241" s="72"/>
      <c r="AR241" s="72"/>
      <c r="AS241" s="72"/>
      <c r="AT241" s="72"/>
      <c r="AU241" s="72"/>
      <c r="AV241" s="72"/>
      <c r="AW241" s="72"/>
      <c r="AX241" s="72"/>
      <c r="AY241" s="72"/>
      <c r="AZ241" s="72"/>
      <c r="BA241" s="146"/>
      <c r="BB241" s="104"/>
      <c r="BC241" s="72"/>
      <c r="BD241" s="72"/>
      <c r="BE241" s="72"/>
      <c r="BF241" s="146"/>
      <c r="BG241" s="112">
        <v>79</v>
      </c>
      <c r="BH241" s="113" t="str">
        <f>mehrsprachigkeitBegriffsrückgabe(gewählteSpracheZurückgeben(), "Independent price")</f>
        <v>Eigenständiger Preis</v>
      </c>
      <c r="BI241" s="146"/>
      <c r="BJ241" s="105"/>
      <c r="BK241" s="113"/>
      <c r="BL241" s="113"/>
      <c r="BM241" s="105"/>
      <c r="BN241" s="113"/>
      <c r="BO241" s="113"/>
      <c r="BP241" s="146"/>
      <c r="BQ241" s="112"/>
      <c r="BR241" s="113"/>
      <c r="BS241" s="105"/>
      <c r="BT241" s="146"/>
      <c r="BU241" s="105"/>
      <c r="BV241" s="105"/>
      <c r="BW241" s="112"/>
      <c r="BX241" s="113"/>
      <c r="BY241" s="105"/>
      <c r="BZ241" s="113"/>
      <c r="CA241" s="113"/>
      <c r="CB241" s="105"/>
      <c r="CC241" s="113"/>
      <c r="CD241" s="113"/>
      <c r="CE241" s="112"/>
      <c r="CF241" s="113"/>
      <c r="CG241" s="105"/>
      <c r="CH241" s="146"/>
      <c r="CI241" s="105"/>
      <c r="CJ241" s="105"/>
      <c r="CK241" s="112"/>
      <c r="CL241" s="113"/>
      <c r="CM241" s="105"/>
      <c r="CN241" s="113"/>
      <c r="CO241" s="113"/>
      <c r="CP241" s="105"/>
      <c r="CQ241" s="113"/>
      <c r="CR241" s="113"/>
      <c r="CS241" s="112"/>
      <c r="CT241" s="113"/>
      <c r="CU241" s="105"/>
      <c r="CV241" s="146"/>
      <c r="CW241" s="105"/>
      <c r="CX241" s="105"/>
      <c r="CY241" s="112"/>
      <c r="CZ241" s="113"/>
      <c r="DA241" s="105"/>
      <c r="DB241" s="113"/>
      <c r="DC241" s="113"/>
      <c r="DD241" s="105"/>
      <c r="DE241" s="113"/>
      <c r="DF241" s="113"/>
      <c r="DG241" s="112"/>
      <c r="DH241" s="113"/>
      <c r="DI241" s="105"/>
      <c r="DJ241" s="146"/>
      <c r="DK241" s="105"/>
      <c r="DL241" s="105"/>
      <c r="DM241" s="112"/>
      <c r="DN241" s="113"/>
      <c r="DO241" s="105"/>
      <c r="DP241" s="113"/>
      <c r="DQ241" s="113"/>
      <c r="DR241" s="105"/>
      <c r="DS241" s="113"/>
      <c r="DT241" s="113"/>
      <c r="DU241" s="112"/>
      <c r="DV241" s="113"/>
      <c r="DW241" s="105"/>
      <c r="DX241" s="146"/>
      <c r="DY241" s="105"/>
      <c r="DZ241" s="105"/>
      <c r="EA241" s="112"/>
      <c r="EB241" s="113"/>
      <c r="EC241" s="105"/>
      <c r="ED241" s="113"/>
      <c r="EE241" s="113"/>
      <c r="EF241" s="105"/>
      <c r="EG241" s="113"/>
      <c r="EH241" s="113"/>
      <c r="EI241" s="112"/>
      <c r="EJ241" s="113"/>
      <c r="EK241" s="105"/>
      <c r="EL241" s="146"/>
      <c r="EM241" s="72"/>
      <c r="EN241" s="74"/>
      <c r="EO241" s="73"/>
      <c r="EP241" s="72"/>
      <c r="EQ241" s="72"/>
      <c r="ER241" s="75"/>
      <c r="ES241" s="76"/>
      <c r="ET241" s="77"/>
      <c r="EU241" s="77"/>
      <c r="EV241" s="78"/>
      <c r="EW241" s="72" t="s">
        <v>113</v>
      </c>
      <c r="EX241" s="72" t="s">
        <v>113</v>
      </c>
      <c r="EY241" s="72" t="s">
        <v>97</v>
      </c>
      <c r="EZ241" s="72" t="s">
        <v>114</v>
      </c>
      <c r="FA241" s="72"/>
      <c r="FB241" s="78"/>
      <c r="FC241" s="78"/>
      <c r="FD241" s="146"/>
      <c r="FE241" s="78"/>
      <c r="FF241" s="78"/>
      <c r="FG241" s="78"/>
      <c r="FO241" s="146"/>
      <c r="FP241" s="78"/>
      <c r="FQ241" s="78"/>
      <c r="FR241" s="78"/>
    </row>
    <row r="242" spans="2:174" s="71" customFormat="1" ht="16.350000000000001" customHeight="1" x14ac:dyDescent="0.25">
      <c r="B242" s="70"/>
      <c r="C242" s="70"/>
      <c r="D242" s="110">
        <v>1</v>
      </c>
      <c r="E242" s="146"/>
      <c r="F242" s="71" t="str">
        <f>mehrsprachigkeitBegriffsrückgabe(gewählteSpracheZurückgeben(), "Variant")</f>
        <v>Variante</v>
      </c>
      <c r="G242" s="72" t="s">
        <v>345</v>
      </c>
      <c r="H242" s="72"/>
      <c r="I242" s="72" t="s">
        <v>86</v>
      </c>
      <c r="J242" s="72" t="s">
        <v>505</v>
      </c>
      <c r="K242" s="72"/>
      <c r="L242" s="146"/>
      <c r="M242" s="150" t="s">
        <v>481</v>
      </c>
      <c r="N242" s="72" t="s">
        <v>483</v>
      </c>
      <c r="O242" s="114" t="s">
        <v>486</v>
      </c>
      <c r="P242" s="114" t="s">
        <v>493</v>
      </c>
      <c r="Q242" s="72"/>
      <c r="R242" s="72"/>
      <c r="S242" s="72"/>
      <c r="T242" s="72"/>
      <c r="U242" s="72"/>
      <c r="V242" s="72"/>
      <c r="W242" s="72"/>
      <c r="X242" s="72"/>
      <c r="Y242" s="72"/>
      <c r="Z242" s="72"/>
      <c r="AA242" s="72"/>
      <c r="AB242" s="72"/>
      <c r="AC242" s="72"/>
      <c r="AD242" s="72"/>
      <c r="AE242" s="72"/>
      <c r="AF242" s="72"/>
      <c r="AG242" s="72"/>
      <c r="AH242" s="72"/>
      <c r="AI242" s="72"/>
      <c r="AJ242" s="72"/>
      <c r="AK242" s="72"/>
      <c r="AL242" s="72"/>
      <c r="AM242" s="72"/>
      <c r="AN242" s="72"/>
      <c r="AO242" s="72"/>
      <c r="AP242" s="72"/>
      <c r="AQ242" s="72"/>
      <c r="AR242" s="72"/>
      <c r="AS242" s="72"/>
      <c r="AT242" s="72"/>
      <c r="AU242" s="72"/>
      <c r="AV242" s="72"/>
      <c r="AW242" s="72"/>
      <c r="AX242" s="72"/>
      <c r="AY242" s="72"/>
      <c r="AZ242" s="72"/>
      <c r="BA242" s="146"/>
      <c r="BB242" s="104"/>
      <c r="BC242" s="72"/>
      <c r="BD242" s="72"/>
      <c r="BE242" s="72"/>
      <c r="BF242" s="146"/>
      <c r="BG242" s="112">
        <v>79</v>
      </c>
      <c r="BH242" s="113" t="str">
        <f>mehrsprachigkeitBegriffsrückgabe(gewählteSpracheZurückgeben(), "Independent price")</f>
        <v>Eigenständiger Preis</v>
      </c>
      <c r="BI242" s="146"/>
      <c r="BJ242" s="105"/>
      <c r="BK242" s="113"/>
      <c r="BL242" s="113"/>
      <c r="BM242" s="105"/>
      <c r="BN242" s="113"/>
      <c r="BO242" s="113"/>
      <c r="BP242" s="146"/>
      <c r="BQ242" s="112"/>
      <c r="BR242" s="113"/>
      <c r="BS242" s="105"/>
      <c r="BT242" s="146"/>
      <c r="BU242" s="105"/>
      <c r="BV242" s="105"/>
      <c r="BW242" s="112"/>
      <c r="BX242" s="113"/>
      <c r="BY242" s="105"/>
      <c r="BZ242" s="113"/>
      <c r="CA242" s="113"/>
      <c r="CB242" s="105"/>
      <c r="CC242" s="113"/>
      <c r="CD242" s="113"/>
      <c r="CE242" s="112"/>
      <c r="CF242" s="113"/>
      <c r="CG242" s="105"/>
      <c r="CH242" s="146"/>
      <c r="CI242" s="105"/>
      <c r="CJ242" s="105"/>
      <c r="CK242" s="112"/>
      <c r="CL242" s="113"/>
      <c r="CM242" s="105"/>
      <c r="CN242" s="113"/>
      <c r="CO242" s="113"/>
      <c r="CP242" s="105"/>
      <c r="CQ242" s="113"/>
      <c r="CR242" s="113"/>
      <c r="CS242" s="112"/>
      <c r="CT242" s="113"/>
      <c r="CU242" s="105"/>
      <c r="CV242" s="146"/>
      <c r="CW242" s="105"/>
      <c r="CX242" s="105"/>
      <c r="CY242" s="112"/>
      <c r="CZ242" s="113"/>
      <c r="DA242" s="105"/>
      <c r="DB242" s="113"/>
      <c r="DC242" s="113"/>
      <c r="DD242" s="105"/>
      <c r="DE242" s="113"/>
      <c r="DF242" s="113"/>
      <c r="DG242" s="112"/>
      <c r="DH242" s="113"/>
      <c r="DI242" s="105"/>
      <c r="DJ242" s="146"/>
      <c r="DK242" s="105"/>
      <c r="DL242" s="105"/>
      <c r="DM242" s="112"/>
      <c r="DN242" s="113"/>
      <c r="DO242" s="105"/>
      <c r="DP242" s="113"/>
      <c r="DQ242" s="113"/>
      <c r="DR242" s="105"/>
      <c r="DS242" s="113"/>
      <c r="DT242" s="113"/>
      <c r="DU242" s="112"/>
      <c r="DV242" s="113"/>
      <c r="DW242" s="105"/>
      <c r="DX242" s="146"/>
      <c r="DY242" s="105"/>
      <c r="DZ242" s="105"/>
      <c r="EA242" s="112"/>
      <c r="EB242" s="113"/>
      <c r="EC242" s="105"/>
      <c r="ED242" s="113"/>
      <c r="EE242" s="113"/>
      <c r="EF242" s="105"/>
      <c r="EG242" s="113"/>
      <c r="EH242" s="113"/>
      <c r="EI242" s="112"/>
      <c r="EJ242" s="113"/>
      <c r="EK242" s="105"/>
      <c r="EL242" s="146"/>
      <c r="EM242" s="72"/>
      <c r="EN242" s="74"/>
      <c r="EO242" s="73"/>
      <c r="EP242" s="72"/>
      <c r="EQ242" s="72"/>
      <c r="ER242" s="75"/>
      <c r="ES242" s="76"/>
      <c r="ET242" s="77"/>
      <c r="EU242" s="77"/>
      <c r="EV242" s="78"/>
      <c r="EW242" s="72" t="s">
        <v>113</v>
      </c>
      <c r="EX242" s="72" t="s">
        <v>113</v>
      </c>
      <c r="EY242" s="72" t="s">
        <v>97</v>
      </c>
      <c r="EZ242" s="72" t="s">
        <v>114</v>
      </c>
      <c r="FA242" s="72"/>
      <c r="FB242" s="78"/>
      <c r="FC242" s="78"/>
      <c r="FD242" s="146"/>
      <c r="FE242" s="78"/>
      <c r="FF242" s="78"/>
      <c r="FG242" s="78"/>
      <c r="FO242" s="146"/>
      <c r="FP242" s="78"/>
      <c r="FQ242" s="78"/>
      <c r="FR242" s="78"/>
    </row>
    <row r="243" spans="2:174" s="71" customFormat="1" ht="16.350000000000001" customHeight="1" x14ac:dyDescent="0.25">
      <c r="B243" s="70"/>
      <c r="C243" s="70"/>
      <c r="D243" s="110">
        <v>1</v>
      </c>
      <c r="E243" s="146"/>
      <c r="F243" s="71" t="str">
        <f>mehrsprachigkeitBegriffsrückgabe(gewählteSpracheZurückgeben(), "Variant")</f>
        <v>Variante</v>
      </c>
      <c r="G243" s="72" t="s">
        <v>345</v>
      </c>
      <c r="H243" s="72"/>
      <c r="I243" s="72" t="s">
        <v>86</v>
      </c>
      <c r="J243" s="72" t="s">
        <v>505</v>
      </c>
      <c r="K243" s="72"/>
      <c r="L243" s="146"/>
      <c r="M243" s="150" t="s">
        <v>481</v>
      </c>
      <c r="N243" s="72" t="s">
        <v>483</v>
      </c>
      <c r="O243" s="114" t="s">
        <v>486</v>
      </c>
      <c r="P243" s="114" t="s">
        <v>494</v>
      </c>
      <c r="Q243" s="72"/>
      <c r="R243" s="72"/>
      <c r="S243" s="72"/>
      <c r="T243" s="72"/>
      <c r="U243" s="72"/>
      <c r="V243" s="72"/>
      <c r="W243" s="72"/>
      <c r="X243" s="72"/>
      <c r="Y243" s="72"/>
      <c r="Z243" s="72"/>
      <c r="AA243" s="72"/>
      <c r="AB243" s="72"/>
      <c r="AC243" s="72"/>
      <c r="AD243" s="72"/>
      <c r="AE243" s="72"/>
      <c r="AF243" s="72"/>
      <c r="AG243" s="72"/>
      <c r="AH243" s="72"/>
      <c r="AI243" s="72"/>
      <c r="AJ243" s="72"/>
      <c r="AK243" s="72"/>
      <c r="AL243" s="72"/>
      <c r="AM243" s="72"/>
      <c r="AN243" s="72"/>
      <c r="AO243" s="72"/>
      <c r="AP243" s="72"/>
      <c r="AQ243" s="72"/>
      <c r="AR243" s="72"/>
      <c r="AS243" s="72"/>
      <c r="AT243" s="72"/>
      <c r="AU243" s="72"/>
      <c r="AV243" s="72"/>
      <c r="AW243" s="72"/>
      <c r="AX243" s="72"/>
      <c r="AY243" s="72"/>
      <c r="AZ243" s="72"/>
      <c r="BA243" s="146"/>
      <c r="BB243" s="104"/>
      <c r="BC243" s="72"/>
      <c r="BD243" s="72"/>
      <c r="BE243" s="72"/>
      <c r="BF243" s="146"/>
      <c r="BG243" s="112">
        <v>79</v>
      </c>
      <c r="BH243" s="113" t="str">
        <f>mehrsprachigkeitBegriffsrückgabe(gewählteSpracheZurückgeben(), "Independent price")</f>
        <v>Eigenständiger Preis</v>
      </c>
      <c r="BI243" s="146"/>
      <c r="BJ243" s="105"/>
      <c r="BK243" s="113"/>
      <c r="BL243" s="113"/>
      <c r="BM243" s="105"/>
      <c r="BN243" s="113"/>
      <c r="BO243" s="113"/>
      <c r="BP243" s="146"/>
      <c r="BQ243" s="112"/>
      <c r="BR243" s="113"/>
      <c r="BS243" s="105"/>
      <c r="BT243" s="146"/>
      <c r="BU243" s="105"/>
      <c r="BV243" s="105"/>
      <c r="BW243" s="112"/>
      <c r="BX243" s="113"/>
      <c r="BY243" s="105"/>
      <c r="BZ243" s="113"/>
      <c r="CA243" s="113"/>
      <c r="CB243" s="105"/>
      <c r="CC243" s="113"/>
      <c r="CD243" s="113"/>
      <c r="CE243" s="112"/>
      <c r="CF243" s="113"/>
      <c r="CG243" s="105"/>
      <c r="CH243" s="146"/>
      <c r="CI243" s="105"/>
      <c r="CJ243" s="105"/>
      <c r="CK243" s="112"/>
      <c r="CL243" s="113"/>
      <c r="CM243" s="105"/>
      <c r="CN243" s="113"/>
      <c r="CO243" s="113"/>
      <c r="CP243" s="105"/>
      <c r="CQ243" s="113"/>
      <c r="CR243" s="113"/>
      <c r="CS243" s="112"/>
      <c r="CT243" s="113"/>
      <c r="CU243" s="105"/>
      <c r="CV243" s="146"/>
      <c r="CW243" s="105"/>
      <c r="CX243" s="105"/>
      <c r="CY243" s="112"/>
      <c r="CZ243" s="113"/>
      <c r="DA243" s="105"/>
      <c r="DB243" s="113"/>
      <c r="DC243" s="113"/>
      <c r="DD243" s="105"/>
      <c r="DE243" s="113"/>
      <c r="DF243" s="113"/>
      <c r="DG243" s="112"/>
      <c r="DH243" s="113"/>
      <c r="DI243" s="105"/>
      <c r="DJ243" s="146"/>
      <c r="DK243" s="105"/>
      <c r="DL243" s="105"/>
      <c r="DM243" s="112"/>
      <c r="DN243" s="113"/>
      <c r="DO243" s="105"/>
      <c r="DP243" s="113"/>
      <c r="DQ243" s="113"/>
      <c r="DR243" s="105"/>
      <c r="DS243" s="113"/>
      <c r="DT243" s="113"/>
      <c r="DU243" s="112"/>
      <c r="DV243" s="113"/>
      <c r="DW243" s="105"/>
      <c r="DX243" s="146"/>
      <c r="DY243" s="105"/>
      <c r="DZ243" s="105"/>
      <c r="EA243" s="112"/>
      <c r="EB243" s="113"/>
      <c r="EC243" s="105"/>
      <c r="ED243" s="113"/>
      <c r="EE243" s="113"/>
      <c r="EF243" s="105"/>
      <c r="EG243" s="113"/>
      <c r="EH243" s="113"/>
      <c r="EI243" s="112"/>
      <c r="EJ243" s="113"/>
      <c r="EK243" s="105"/>
      <c r="EL243" s="146"/>
      <c r="EM243" s="72"/>
      <c r="EN243" s="74"/>
      <c r="EO243" s="73"/>
      <c r="EP243" s="72"/>
      <c r="EQ243" s="72"/>
      <c r="ER243" s="75"/>
      <c r="ES243" s="76"/>
      <c r="ET243" s="77"/>
      <c r="EU243" s="77"/>
      <c r="EV243" s="78"/>
      <c r="EW243" s="72" t="s">
        <v>113</v>
      </c>
      <c r="EX243" s="72" t="s">
        <v>113</v>
      </c>
      <c r="EY243" s="72" t="s">
        <v>97</v>
      </c>
      <c r="EZ243" s="72" t="s">
        <v>114</v>
      </c>
      <c r="FA243" s="72"/>
      <c r="FB243" s="78"/>
      <c r="FC243" s="78"/>
      <c r="FD243" s="146"/>
      <c r="FE243" s="78"/>
      <c r="FF243" s="78"/>
      <c r="FG243" s="78"/>
      <c r="FO243" s="146"/>
      <c r="FP243" s="78"/>
      <c r="FQ243" s="78"/>
      <c r="FR243" s="78"/>
    </row>
    <row r="244" spans="2:174" s="71" customFormat="1" ht="16.350000000000001" customHeight="1" x14ac:dyDescent="0.25">
      <c r="B244" s="70"/>
      <c r="C244" s="70"/>
      <c r="D244" s="110">
        <v>1</v>
      </c>
      <c r="E244" s="146"/>
      <c r="F244" s="71" t="str">
        <f>mehrsprachigkeitBegriffsrückgabe(gewählteSpracheZurückgeben(), "Variant")</f>
        <v>Variante</v>
      </c>
      <c r="G244" s="72" t="s">
        <v>345</v>
      </c>
      <c r="H244" s="72"/>
      <c r="I244" s="72" t="s">
        <v>86</v>
      </c>
      <c r="J244" s="72" t="s">
        <v>505</v>
      </c>
      <c r="K244" s="72"/>
      <c r="L244" s="146"/>
      <c r="M244" s="150" t="s">
        <v>481</v>
      </c>
      <c r="N244" s="72" t="s">
        <v>483</v>
      </c>
      <c r="O244" s="114" t="s">
        <v>486</v>
      </c>
      <c r="P244" s="114" t="s">
        <v>495</v>
      </c>
      <c r="Q244" s="72"/>
      <c r="R244" s="72"/>
      <c r="S244" s="72"/>
      <c r="T244" s="72"/>
      <c r="U244" s="72"/>
      <c r="V244" s="72"/>
      <c r="W244" s="72"/>
      <c r="X244" s="72"/>
      <c r="Y244" s="72"/>
      <c r="Z244" s="72"/>
      <c r="AA244" s="72"/>
      <c r="AB244" s="72"/>
      <c r="AC244" s="72"/>
      <c r="AD244" s="72"/>
      <c r="AE244" s="72"/>
      <c r="AF244" s="72"/>
      <c r="AG244" s="72"/>
      <c r="AH244" s="72"/>
      <c r="AI244" s="72"/>
      <c r="AJ244" s="72"/>
      <c r="AK244" s="72"/>
      <c r="AL244" s="72"/>
      <c r="AM244" s="72"/>
      <c r="AN244" s="72"/>
      <c r="AO244" s="72"/>
      <c r="AP244" s="72"/>
      <c r="AQ244" s="72"/>
      <c r="AR244" s="72"/>
      <c r="AS244" s="72"/>
      <c r="AT244" s="72"/>
      <c r="AU244" s="72"/>
      <c r="AV244" s="72"/>
      <c r="AW244" s="72"/>
      <c r="AX244" s="72"/>
      <c r="AY244" s="72"/>
      <c r="AZ244" s="72"/>
      <c r="BA244" s="146"/>
      <c r="BB244" s="104"/>
      <c r="BC244" s="72"/>
      <c r="BD244" s="72"/>
      <c r="BE244" s="72"/>
      <c r="BF244" s="146"/>
      <c r="BG244" s="112">
        <v>79</v>
      </c>
      <c r="BH244" s="113" t="str">
        <f>mehrsprachigkeitBegriffsrückgabe(gewählteSpracheZurückgeben(), "Independent price")</f>
        <v>Eigenständiger Preis</v>
      </c>
      <c r="BI244" s="146"/>
      <c r="BJ244" s="105"/>
      <c r="BK244" s="113"/>
      <c r="BL244" s="113"/>
      <c r="BM244" s="105"/>
      <c r="BN244" s="113"/>
      <c r="BO244" s="113"/>
      <c r="BP244" s="146"/>
      <c r="BQ244" s="112"/>
      <c r="BR244" s="113"/>
      <c r="BS244" s="105"/>
      <c r="BT244" s="146"/>
      <c r="BU244" s="105"/>
      <c r="BV244" s="105"/>
      <c r="BW244" s="112"/>
      <c r="BX244" s="113"/>
      <c r="BY244" s="105"/>
      <c r="BZ244" s="113"/>
      <c r="CA244" s="113"/>
      <c r="CB244" s="105"/>
      <c r="CC244" s="113"/>
      <c r="CD244" s="113"/>
      <c r="CE244" s="112"/>
      <c r="CF244" s="113"/>
      <c r="CG244" s="105"/>
      <c r="CH244" s="146"/>
      <c r="CI244" s="105"/>
      <c r="CJ244" s="105"/>
      <c r="CK244" s="112"/>
      <c r="CL244" s="113"/>
      <c r="CM244" s="105"/>
      <c r="CN244" s="113"/>
      <c r="CO244" s="113"/>
      <c r="CP244" s="105"/>
      <c r="CQ244" s="113"/>
      <c r="CR244" s="113"/>
      <c r="CS244" s="112"/>
      <c r="CT244" s="113"/>
      <c r="CU244" s="105"/>
      <c r="CV244" s="146"/>
      <c r="CW244" s="105"/>
      <c r="CX244" s="105"/>
      <c r="CY244" s="112"/>
      <c r="CZ244" s="113"/>
      <c r="DA244" s="105"/>
      <c r="DB244" s="113"/>
      <c r="DC244" s="113"/>
      <c r="DD244" s="105"/>
      <c r="DE244" s="113"/>
      <c r="DF244" s="113"/>
      <c r="DG244" s="112"/>
      <c r="DH244" s="113"/>
      <c r="DI244" s="105"/>
      <c r="DJ244" s="146"/>
      <c r="DK244" s="105"/>
      <c r="DL244" s="105"/>
      <c r="DM244" s="112"/>
      <c r="DN244" s="113"/>
      <c r="DO244" s="105"/>
      <c r="DP244" s="113"/>
      <c r="DQ244" s="113"/>
      <c r="DR244" s="105"/>
      <c r="DS244" s="113"/>
      <c r="DT244" s="113"/>
      <c r="DU244" s="112"/>
      <c r="DV244" s="113"/>
      <c r="DW244" s="105"/>
      <c r="DX244" s="146"/>
      <c r="DY244" s="105"/>
      <c r="DZ244" s="105"/>
      <c r="EA244" s="112"/>
      <c r="EB244" s="113"/>
      <c r="EC244" s="105"/>
      <c r="ED244" s="113"/>
      <c r="EE244" s="113"/>
      <c r="EF244" s="105"/>
      <c r="EG244" s="113"/>
      <c r="EH244" s="113"/>
      <c r="EI244" s="112"/>
      <c r="EJ244" s="113"/>
      <c r="EK244" s="105"/>
      <c r="EL244" s="146"/>
      <c r="EM244" s="72"/>
      <c r="EN244" s="74"/>
      <c r="EO244" s="73"/>
      <c r="EP244" s="72"/>
      <c r="EQ244" s="72"/>
      <c r="ER244" s="75"/>
      <c r="ES244" s="76"/>
      <c r="ET244" s="77"/>
      <c r="EU244" s="77"/>
      <c r="EV244" s="78"/>
      <c r="EW244" s="72" t="s">
        <v>113</v>
      </c>
      <c r="EX244" s="72" t="s">
        <v>113</v>
      </c>
      <c r="EY244" s="72" t="s">
        <v>97</v>
      </c>
      <c r="EZ244" s="72" t="s">
        <v>114</v>
      </c>
      <c r="FA244" s="72"/>
      <c r="FB244" s="78"/>
      <c r="FC244" s="78"/>
      <c r="FD244" s="146"/>
      <c r="FE244" s="78"/>
      <c r="FF244" s="78"/>
      <c r="FG244" s="78"/>
      <c r="FO244" s="146"/>
      <c r="FP244" s="78"/>
      <c r="FQ244" s="78"/>
      <c r="FR244" s="78"/>
    </row>
    <row r="245" spans="2:174" s="71" customFormat="1" ht="16.350000000000001" customHeight="1" x14ac:dyDescent="0.25">
      <c r="B245" s="70"/>
      <c r="C245" s="70"/>
      <c r="D245" s="110">
        <v>1</v>
      </c>
      <c r="E245" s="146"/>
      <c r="F245" s="71" t="str">
        <f>mehrsprachigkeitBegriffsrückgabe(gewählteSpracheZurückgeben(), "Variant")</f>
        <v>Variante</v>
      </c>
      <c r="G245" s="72" t="s">
        <v>345</v>
      </c>
      <c r="H245" s="72"/>
      <c r="I245" s="72" t="s">
        <v>86</v>
      </c>
      <c r="J245" s="72" t="s">
        <v>505</v>
      </c>
      <c r="K245" s="72"/>
      <c r="L245" s="146"/>
      <c r="M245" s="150" t="s">
        <v>481</v>
      </c>
      <c r="N245" s="72" t="s">
        <v>483</v>
      </c>
      <c r="O245" s="114" t="s">
        <v>486</v>
      </c>
      <c r="P245" s="114" t="s">
        <v>496</v>
      </c>
      <c r="Q245" s="72"/>
      <c r="R245" s="72"/>
      <c r="S245" s="72"/>
      <c r="T245" s="72"/>
      <c r="U245" s="72"/>
      <c r="V245" s="72"/>
      <c r="W245" s="72"/>
      <c r="X245" s="72"/>
      <c r="Y245" s="72"/>
      <c r="Z245" s="72"/>
      <c r="AA245" s="72"/>
      <c r="AB245" s="72"/>
      <c r="AC245" s="72"/>
      <c r="AD245" s="72"/>
      <c r="AE245" s="72"/>
      <c r="AF245" s="72"/>
      <c r="AG245" s="72"/>
      <c r="AH245" s="72"/>
      <c r="AI245" s="72"/>
      <c r="AJ245" s="72"/>
      <c r="AK245" s="72"/>
      <c r="AL245" s="72"/>
      <c r="AM245" s="72"/>
      <c r="AN245" s="72"/>
      <c r="AO245" s="72"/>
      <c r="AP245" s="72"/>
      <c r="AQ245" s="72"/>
      <c r="AR245" s="72"/>
      <c r="AS245" s="72"/>
      <c r="AT245" s="72"/>
      <c r="AU245" s="72"/>
      <c r="AV245" s="72"/>
      <c r="AW245" s="72"/>
      <c r="AX245" s="72"/>
      <c r="AY245" s="72"/>
      <c r="AZ245" s="72"/>
      <c r="BA245" s="146"/>
      <c r="BB245" s="104"/>
      <c r="BC245" s="72"/>
      <c r="BD245" s="72"/>
      <c r="BE245" s="72"/>
      <c r="BF245" s="146"/>
      <c r="BG245" s="112">
        <v>79</v>
      </c>
      <c r="BH245" s="113" t="str">
        <f>mehrsprachigkeitBegriffsrückgabe(gewählteSpracheZurückgeben(), "Independent price")</f>
        <v>Eigenständiger Preis</v>
      </c>
      <c r="BI245" s="146"/>
      <c r="BJ245" s="105"/>
      <c r="BK245" s="113"/>
      <c r="BL245" s="113"/>
      <c r="BM245" s="105"/>
      <c r="BN245" s="113"/>
      <c r="BO245" s="113"/>
      <c r="BP245" s="146"/>
      <c r="BQ245" s="112"/>
      <c r="BR245" s="113"/>
      <c r="BS245" s="105"/>
      <c r="BT245" s="146"/>
      <c r="BU245" s="105"/>
      <c r="BV245" s="105"/>
      <c r="BW245" s="112"/>
      <c r="BX245" s="113"/>
      <c r="BY245" s="105"/>
      <c r="BZ245" s="113"/>
      <c r="CA245" s="113"/>
      <c r="CB245" s="105"/>
      <c r="CC245" s="113"/>
      <c r="CD245" s="113"/>
      <c r="CE245" s="112"/>
      <c r="CF245" s="113"/>
      <c r="CG245" s="105"/>
      <c r="CH245" s="146"/>
      <c r="CI245" s="105"/>
      <c r="CJ245" s="105"/>
      <c r="CK245" s="112"/>
      <c r="CL245" s="113"/>
      <c r="CM245" s="105"/>
      <c r="CN245" s="113"/>
      <c r="CO245" s="113"/>
      <c r="CP245" s="105"/>
      <c r="CQ245" s="113"/>
      <c r="CR245" s="113"/>
      <c r="CS245" s="112"/>
      <c r="CT245" s="113"/>
      <c r="CU245" s="105"/>
      <c r="CV245" s="146"/>
      <c r="CW245" s="105"/>
      <c r="CX245" s="105"/>
      <c r="CY245" s="112"/>
      <c r="CZ245" s="113"/>
      <c r="DA245" s="105"/>
      <c r="DB245" s="113"/>
      <c r="DC245" s="113"/>
      <c r="DD245" s="105"/>
      <c r="DE245" s="113"/>
      <c r="DF245" s="113"/>
      <c r="DG245" s="112"/>
      <c r="DH245" s="113"/>
      <c r="DI245" s="105"/>
      <c r="DJ245" s="146"/>
      <c r="DK245" s="105"/>
      <c r="DL245" s="105"/>
      <c r="DM245" s="112"/>
      <c r="DN245" s="113"/>
      <c r="DO245" s="105"/>
      <c r="DP245" s="113"/>
      <c r="DQ245" s="113"/>
      <c r="DR245" s="105"/>
      <c r="DS245" s="113"/>
      <c r="DT245" s="113"/>
      <c r="DU245" s="112"/>
      <c r="DV245" s="113"/>
      <c r="DW245" s="105"/>
      <c r="DX245" s="146"/>
      <c r="DY245" s="105"/>
      <c r="DZ245" s="105"/>
      <c r="EA245" s="112"/>
      <c r="EB245" s="113"/>
      <c r="EC245" s="105"/>
      <c r="ED245" s="113"/>
      <c r="EE245" s="113"/>
      <c r="EF245" s="105"/>
      <c r="EG245" s="113"/>
      <c r="EH245" s="113"/>
      <c r="EI245" s="112"/>
      <c r="EJ245" s="113"/>
      <c r="EK245" s="105"/>
      <c r="EL245" s="146"/>
      <c r="EM245" s="72"/>
      <c r="EN245" s="74"/>
      <c r="EO245" s="73"/>
      <c r="EP245" s="72"/>
      <c r="EQ245" s="72"/>
      <c r="ER245" s="75"/>
      <c r="ES245" s="76"/>
      <c r="ET245" s="77"/>
      <c r="EU245" s="77"/>
      <c r="EV245" s="78"/>
      <c r="EW245" s="72" t="s">
        <v>113</v>
      </c>
      <c r="EX245" s="72" t="s">
        <v>113</v>
      </c>
      <c r="EY245" s="72" t="s">
        <v>97</v>
      </c>
      <c r="EZ245" s="72" t="s">
        <v>114</v>
      </c>
      <c r="FA245" s="72"/>
      <c r="FB245" s="78"/>
      <c r="FC245" s="78"/>
      <c r="FD245" s="146"/>
      <c r="FE245" s="78"/>
      <c r="FF245" s="78"/>
      <c r="FG245" s="78"/>
      <c r="FO245" s="146"/>
      <c r="FP245" s="78"/>
      <c r="FQ245" s="78"/>
      <c r="FR245" s="78"/>
    </row>
    <row r="246" spans="2:174" s="71" customFormat="1" ht="16.350000000000001" customHeight="1" x14ac:dyDescent="0.25">
      <c r="B246" s="70"/>
      <c r="C246" s="70"/>
      <c r="D246" s="110">
        <v>1</v>
      </c>
      <c r="E246" s="146"/>
      <c r="F246" s="71" t="str">
        <f>mehrsprachigkeitBegriffsrückgabe(gewählteSpracheZurückgeben(), "Variant")</f>
        <v>Variante</v>
      </c>
      <c r="G246" s="72" t="s">
        <v>345</v>
      </c>
      <c r="H246" s="72"/>
      <c r="I246" s="72" t="s">
        <v>86</v>
      </c>
      <c r="J246" s="72" t="s">
        <v>505</v>
      </c>
      <c r="K246" s="72"/>
      <c r="L246" s="146"/>
      <c r="M246" s="150" t="s">
        <v>481</v>
      </c>
      <c r="N246" s="72" t="s">
        <v>483</v>
      </c>
      <c r="O246" s="114" t="s">
        <v>486</v>
      </c>
      <c r="P246" s="114" t="s">
        <v>497</v>
      </c>
      <c r="Q246" s="72"/>
      <c r="R246" s="72"/>
      <c r="S246" s="72"/>
      <c r="T246" s="72"/>
      <c r="U246" s="72"/>
      <c r="V246" s="72"/>
      <c r="W246" s="72"/>
      <c r="X246" s="72"/>
      <c r="Y246" s="72"/>
      <c r="Z246" s="72"/>
      <c r="AA246" s="72"/>
      <c r="AB246" s="72"/>
      <c r="AC246" s="72"/>
      <c r="AD246" s="72"/>
      <c r="AE246" s="72"/>
      <c r="AF246" s="72"/>
      <c r="AG246" s="72"/>
      <c r="AH246" s="72"/>
      <c r="AI246" s="72"/>
      <c r="AJ246" s="72"/>
      <c r="AK246" s="72"/>
      <c r="AL246" s="72"/>
      <c r="AM246" s="72"/>
      <c r="AN246" s="72"/>
      <c r="AO246" s="72"/>
      <c r="AP246" s="72"/>
      <c r="AQ246" s="72"/>
      <c r="AR246" s="72"/>
      <c r="AS246" s="72"/>
      <c r="AT246" s="72"/>
      <c r="AU246" s="72"/>
      <c r="AV246" s="72"/>
      <c r="AW246" s="72"/>
      <c r="AX246" s="72"/>
      <c r="AY246" s="72"/>
      <c r="AZ246" s="72"/>
      <c r="BA246" s="146"/>
      <c r="BB246" s="104"/>
      <c r="BC246" s="72"/>
      <c r="BD246" s="72"/>
      <c r="BE246" s="72"/>
      <c r="BF246" s="146"/>
      <c r="BG246" s="112">
        <v>79</v>
      </c>
      <c r="BH246" s="113" t="str">
        <f>mehrsprachigkeitBegriffsrückgabe(gewählteSpracheZurückgeben(), "Independent price")</f>
        <v>Eigenständiger Preis</v>
      </c>
      <c r="BI246" s="146"/>
      <c r="BJ246" s="105"/>
      <c r="BK246" s="113"/>
      <c r="BL246" s="113"/>
      <c r="BM246" s="105"/>
      <c r="BN246" s="113"/>
      <c r="BO246" s="113"/>
      <c r="BP246" s="146"/>
      <c r="BQ246" s="112"/>
      <c r="BR246" s="113"/>
      <c r="BS246" s="105"/>
      <c r="BT246" s="146"/>
      <c r="BU246" s="105"/>
      <c r="BV246" s="105"/>
      <c r="BW246" s="112"/>
      <c r="BX246" s="113"/>
      <c r="BY246" s="105"/>
      <c r="BZ246" s="113"/>
      <c r="CA246" s="113"/>
      <c r="CB246" s="105"/>
      <c r="CC246" s="113"/>
      <c r="CD246" s="113"/>
      <c r="CE246" s="112"/>
      <c r="CF246" s="113"/>
      <c r="CG246" s="105"/>
      <c r="CH246" s="146"/>
      <c r="CI246" s="105"/>
      <c r="CJ246" s="105"/>
      <c r="CK246" s="112"/>
      <c r="CL246" s="113"/>
      <c r="CM246" s="105"/>
      <c r="CN246" s="113"/>
      <c r="CO246" s="113"/>
      <c r="CP246" s="105"/>
      <c r="CQ246" s="113"/>
      <c r="CR246" s="113"/>
      <c r="CS246" s="112"/>
      <c r="CT246" s="113"/>
      <c r="CU246" s="105"/>
      <c r="CV246" s="146"/>
      <c r="CW246" s="105"/>
      <c r="CX246" s="105"/>
      <c r="CY246" s="112"/>
      <c r="CZ246" s="113"/>
      <c r="DA246" s="105"/>
      <c r="DB246" s="113"/>
      <c r="DC246" s="113"/>
      <c r="DD246" s="105"/>
      <c r="DE246" s="113"/>
      <c r="DF246" s="113"/>
      <c r="DG246" s="112"/>
      <c r="DH246" s="113"/>
      <c r="DI246" s="105"/>
      <c r="DJ246" s="146"/>
      <c r="DK246" s="105"/>
      <c r="DL246" s="105"/>
      <c r="DM246" s="112"/>
      <c r="DN246" s="113"/>
      <c r="DO246" s="105"/>
      <c r="DP246" s="113"/>
      <c r="DQ246" s="113"/>
      <c r="DR246" s="105"/>
      <c r="DS246" s="113"/>
      <c r="DT246" s="113"/>
      <c r="DU246" s="112"/>
      <c r="DV246" s="113"/>
      <c r="DW246" s="105"/>
      <c r="DX246" s="146"/>
      <c r="DY246" s="105"/>
      <c r="DZ246" s="105"/>
      <c r="EA246" s="112"/>
      <c r="EB246" s="113"/>
      <c r="EC246" s="105"/>
      <c r="ED246" s="113"/>
      <c r="EE246" s="113"/>
      <c r="EF246" s="105"/>
      <c r="EG246" s="113"/>
      <c r="EH246" s="113"/>
      <c r="EI246" s="112"/>
      <c r="EJ246" s="113"/>
      <c r="EK246" s="105"/>
      <c r="EL246" s="146"/>
      <c r="EM246" s="72"/>
      <c r="EN246" s="74"/>
      <c r="EO246" s="73"/>
      <c r="EP246" s="72"/>
      <c r="EQ246" s="72"/>
      <c r="ER246" s="75"/>
      <c r="ES246" s="76"/>
      <c r="ET246" s="77"/>
      <c r="EU246" s="77"/>
      <c r="EV246" s="78"/>
      <c r="EW246" s="72" t="s">
        <v>113</v>
      </c>
      <c r="EX246" s="72" t="s">
        <v>113</v>
      </c>
      <c r="EY246" s="72" t="s">
        <v>97</v>
      </c>
      <c r="EZ246" s="72" t="s">
        <v>114</v>
      </c>
      <c r="FA246" s="72"/>
      <c r="FB246" s="78"/>
      <c r="FC246" s="78"/>
      <c r="FD246" s="146"/>
      <c r="FE246" s="78"/>
      <c r="FF246" s="78"/>
      <c r="FG246" s="78"/>
      <c r="FO246" s="146"/>
      <c r="FP246" s="78"/>
      <c r="FQ246" s="78"/>
      <c r="FR246" s="78"/>
    </row>
    <row r="247" spans="2:174" s="71" customFormat="1" ht="16.350000000000001" customHeight="1" x14ac:dyDescent="0.25">
      <c r="B247" s="70"/>
      <c r="C247" s="70"/>
      <c r="D247" s="110">
        <v>1</v>
      </c>
      <c r="E247" s="146"/>
      <c r="F247" s="71" t="str">
        <f>mehrsprachigkeitBegriffsrückgabe(gewählteSpracheZurückgeben(), "Variant")</f>
        <v>Variante</v>
      </c>
      <c r="G247" s="72" t="s">
        <v>345</v>
      </c>
      <c r="H247" s="72"/>
      <c r="I247" s="72" t="s">
        <v>86</v>
      </c>
      <c r="J247" s="72" t="s">
        <v>505</v>
      </c>
      <c r="K247" s="72"/>
      <c r="L247" s="146"/>
      <c r="M247" s="150" t="s">
        <v>481</v>
      </c>
      <c r="N247" s="72" t="s">
        <v>483</v>
      </c>
      <c r="O247" s="114" t="s">
        <v>486</v>
      </c>
      <c r="P247" s="114" t="s">
        <v>498</v>
      </c>
      <c r="Q247" s="72"/>
      <c r="R247" s="72"/>
      <c r="S247" s="72"/>
      <c r="T247" s="72"/>
      <c r="U247" s="72"/>
      <c r="V247" s="72"/>
      <c r="W247" s="72"/>
      <c r="X247" s="72"/>
      <c r="Y247" s="72"/>
      <c r="Z247" s="72"/>
      <c r="AA247" s="72"/>
      <c r="AB247" s="72"/>
      <c r="AC247" s="72"/>
      <c r="AD247" s="72"/>
      <c r="AE247" s="72"/>
      <c r="AF247" s="72"/>
      <c r="AG247" s="72"/>
      <c r="AH247" s="72"/>
      <c r="AI247" s="72"/>
      <c r="AJ247" s="72"/>
      <c r="AK247" s="72"/>
      <c r="AL247" s="72"/>
      <c r="AM247" s="72"/>
      <c r="AN247" s="72"/>
      <c r="AO247" s="72"/>
      <c r="AP247" s="72"/>
      <c r="AQ247" s="72"/>
      <c r="AR247" s="72"/>
      <c r="AS247" s="72"/>
      <c r="AT247" s="72"/>
      <c r="AU247" s="72"/>
      <c r="AV247" s="72"/>
      <c r="AW247" s="72"/>
      <c r="AX247" s="72"/>
      <c r="AY247" s="72"/>
      <c r="AZ247" s="72"/>
      <c r="BA247" s="146"/>
      <c r="BB247" s="104"/>
      <c r="BC247" s="72"/>
      <c r="BD247" s="72"/>
      <c r="BE247" s="72"/>
      <c r="BF247" s="146"/>
      <c r="BG247" s="112">
        <v>79</v>
      </c>
      <c r="BH247" s="113" t="str">
        <f>mehrsprachigkeitBegriffsrückgabe(gewählteSpracheZurückgeben(), "Independent price")</f>
        <v>Eigenständiger Preis</v>
      </c>
      <c r="BI247" s="146"/>
      <c r="BJ247" s="105"/>
      <c r="BK247" s="113"/>
      <c r="BL247" s="113"/>
      <c r="BM247" s="105"/>
      <c r="BN247" s="113"/>
      <c r="BO247" s="113"/>
      <c r="BP247" s="146"/>
      <c r="BQ247" s="112"/>
      <c r="BR247" s="113"/>
      <c r="BS247" s="105"/>
      <c r="BT247" s="146"/>
      <c r="BU247" s="105"/>
      <c r="BV247" s="105"/>
      <c r="BW247" s="112"/>
      <c r="BX247" s="113"/>
      <c r="BY247" s="105"/>
      <c r="BZ247" s="113"/>
      <c r="CA247" s="113"/>
      <c r="CB247" s="105"/>
      <c r="CC247" s="113"/>
      <c r="CD247" s="113"/>
      <c r="CE247" s="112"/>
      <c r="CF247" s="113"/>
      <c r="CG247" s="105"/>
      <c r="CH247" s="146"/>
      <c r="CI247" s="105"/>
      <c r="CJ247" s="105"/>
      <c r="CK247" s="112"/>
      <c r="CL247" s="113"/>
      <c r="CM247" s="105"/>
      <c r="CN247" s="113"/>
      <c r="CO247" s="113"/>
      <c r="CP247" s="105"/>
      <c r="CQ247" s="113"/>
      <c r="CR247" s="113"/>
      <c r="CS247" s="112"/>
      <c r="CT247" s="113"/>
      <c r="CU247" s="105"/>
      <c r="CV247" s="146"/>
      <c r="CW247" s="105"/>
      <c r="CX247" s="105"/>
      <c r="CY247" s="112"/>
      <c r="CZ247" s="113"/>
      <c r="DA247" s="105"/>
      <c r="DB247" s="113"/>
      <c r="DC247" s="113"/>
      <c r="DD247" s="105"/>
      <c r="DE247" s="113"/>
      <c r="DF247" s="113"/>
      <c r="DG247" s="112"/>
      <c r="DH247" s="113"/>
      <c r="DI247" s="105"/>
      <c r="DJ247" s="146"/>
      <c r="DK247" s="105"/>
      <c r="DL247" s="105"/>
      <c r="DM247" s="112"/>
      <c r="DN247" s="113"/>
      <c r="DO247" s="105"/>
      <c r="DP247" s="113"/>
      <c r="DQ247" s="113"/>
      <c r="DR247" s="105"/>
      <c r="DS247" s="113"/>
      <c r="DT247" s="113"/>
      <c r="DU247" s="112"/>
      <c r="DV247" s="113"/>
      <c r="DW247" s="105"/>
      <c r="DX247" s="146"/>
      <c r="DY247" s="105"/>
      <c r="DZ247" s="105"/>
      <c r="EA247" s="112"/>
      <c r="EB247" s="113"/>
      <c r="EC247" s="105"/>
      <c r="ED247" s="113"/>
      <c r="EE247" s="113"/>
      <c r="EF247" s="105"/>
      <c r="EG247" s="113"/>
      <c r="EH247" s="113"/>
      <c r="EI247" s="112"/>
      <c r="EJ247" s="113"/>
      <c r="EK247" s="105"/>
      <c r="EL247" s="146"/>
      <c r="EM247" s="72"/>
      <c r="EN247" s="74"/>
      <c r="EO247" s="73"/>
      <c r="EP247" s="72"/>
      <c r="EQ247" s="72"/>
      <c r="ER247" s="75"/>
      <c r="ES247" s="76"/>
      <c r="ET247" s="77"/>
      <c r="EU247" s="77"/>
      <c r="EV247" s="78"/>
      <c r="EW247" s="72" t="s">
        <v>113</v>
      </c>
      <c r="EX247" s="72" t="s">
        <v>113</v>
      </c>
      <c r="EY247" s="72" t="s">
        <v>97</v>
      </c>
      <c r="EZ247" s="72" t="s">
        <v>114</v>
      </c>
      <c r="FA247" s="72"/>
      <c r="FB247" s="78"/>
      <c r="FC247" s="78"/>
      <c r="FD247" s="146"/>
      <c r="FE247" s="78"/>
      <c r="FF247" s="78"/>
      <c r="FG247" s="78"/>
      <c r="FO247" s="146"/>
      <c r="FP247" s="78"/>
      <c r="FQ247" s="78"/>
      <c r="FR247" s="78"/>
    </row>
    <row r="248" spans="2:174" s="71" customFormat="1" ht="16.350000000000001" customHeight="1" x14ac:dyDescent="0.25">
      <c r="B248" s="70"/>
      <c r="C248" s="70"/>
      <c r="D248" s="110">
        <v>1</v>
      </c>
      <c r="E248" s="146"/>
      <c r="F248" s="71" t="str">
        <f>mehrsprachigkeitBegriffsrückgabe(gewählteSpracheZurückgeben(), "Variant")</f>
        <v>Variante</v>
      </c>
      <c r="G248" s="72" t="s">
        <v>345</v>
      </c>
      <c r="H248" s="72"/>
      <c r="I248" s="72" t="s">
        <v>86</v>
      </c>
      <c r="J248" s="72" t="s">
        <v>505</v>
      </c>
      <c r="K248" s="72"/>
      <c r="L248" s="146"/>
      <c r="M248" s="150" t="s">
        <v>481</v>
      </c>
      <c r="N248" s="72" t="s">
        <v>483</v>
      </c>
      <c r="O248" s="114" t="s">
        <v>486</v>
      </c>
      <c r="P248" s="114" t="s">
        <v>499</v>
      </c>
      <c r="Q248" s="72"/>
      <c r="R248" s="72"/>
      <c r="S248" s="72"/>
      <c r="T248" s="72"/>
      <c r="U248" s="72"/>
      <c r="V248" s="72"/>
      <c r="W248" s="72"/>
      <c r="X248" s="72"/>
      <c r="Y248" s="72"/>
      <c r="Z248" s="72"/>
      <c r="AA248" s="72"/>
      <c r="AB248" s="72"/>
      <c r="AC248" s="72"/>
      <c r="AD248" s="72"/>
      <c r="AE248" s="72"/>
      <c r="AF248" s="72"/>
      <c r="AG248" s="72"/>
      <c r="AH248" s="72"/>
      <c r="AI248" s="72"/>
      <c r="AJ248" s="72"/>
      <c r="AK248" s="72"/>
      <c r="AL248" s="72"/>
      <c r="AM248" s="72"/>
      <c r="AN248" s="72"/>
      <c r="AO248" s="72"/>
      <c r="AP248" s="72"/>
      <c r="AQ248" s="72"/>
      <c r="AR248" s="72"/>
      <c r="AS248" s="72"/>
      <c r="AT248" s="72"/>
      <c r="AU248" s="72"/>
      <c r="AV248" s="72"/>
      <c r="AW248" s="72"/>
      <c r="AX248" s="72"/>
      <c r="AY248" s="72"/>
      <c r="AZ248" s="72"/>
      <c r="BA248" s="146"/>
      <c r="BB248" s="104"/>
      <c r="BC248" s="72"/>
      <c r="BD248" s="72"/>
      <c r="BE248" s="72"/>
      <c r="BF248" s="146"/>
      <c r="BG248" s="112">
        <v>79</v>
      </c>
      <c r="BH248" s="113" t="str">
        <f>mehrsprachigkeitBegriffsrückgabe(gewählteSpracheZurückgeben(), "Independent price")</f>
        <v>Eigenständiger Preis</v>
      </c>
      <c r="BI248" s="146"/>
      <c r="BJ248" s="105"/>
      <c r="BK248" s="113"/>
      <c r="BL248" s="113"/>
      <c r="BM248" s="105"/>
      <c r="BN248" s="113"/>
      <c r="BO248" s="113"/>
      <c r="BP248" s="146"/>
      <c r="BQ248" s="112"/>
      <c r="BR248" s="113"/>
      <c r="BS248" s="105"/>
      <c r="BT248" s="146"/>
      <c r="BU248" s="105"/>
      <c r="BV248" s="105"/>
      <c r="BW248" s="112"/>
      <c r="BX248" s="113"/>
      <c r="BY248" s="105"/>
      <c r="BZ248" s="113"/>
      <c r="CA248" s="113"/>
      <c r="CB248" s="105"/>
      <c r="CC248" s="113"/>
      <c r="CD248" s="113"/>
      <c r="CE248" s="112"/>
      <c r="CF248" s="113"/>
      <c r="CG248" s="105"/>
      <c r="CH248" s="146"/>
      <c r="CI248" s="105"/>
      <c r="CJ248" s="105"/>
      <c r="CK248" s="112"/>
      <c r="CL248" s="113"/>
      <c r="CM248" s="105"/>
      <c r="CN248" s="113"/>
      <c r="CO248" s="113"/>
      <c r="CP248" s="105"/>
      <c r="CQ248" s="113"/>
      <c r="CR248" s="113"/>
      <c r="CS248" s="112"/>
      <c r="CT248" s="113"/>
      <c r="CU248" s="105"/>
      <c r="CV248" s="146"/>
      <c r="CW248" s="105"/>
      <c r="CX248" s="105"/>
      <c r="CY248" s="112"/>
      <c r="CZ248" s="113"/>
      <c r="DA248" s="105"/>
      <c r="DB248" s="113"/>
      <c r="DC248" s="113"/>
      <c r="DD248" s="105"/>
      <c r="DE248" s="113"/>
      <c r="DF248" s="113"/>
      <c r="DG248" s="112"/>
      <c r="DH248" s="113"/>
      <c r="DI248" s="105"/>
      <c r="DJ248" s="146"/>
      <c r="DK248" s="105"/>
      <c r="DL248" s="105"/>
      <c r="DM248" s="112"/>
      <c r="DN248" s="113"/>
      <c r="DO248" s="105"/>
      <c r="DP248" s="113"/>
      <c r="DQ248" s="113"/>
      <c r="DR248" s="105"/>
      <c r="DS248" s="113"/>
      <c r="DT248" s="113"/>
      <c r="DU248" s="112"/>
      <c r="DV248" s="113"/>
      <c r="DW248" s="105"/>
      <c r="DX248" s="146"/>
      <c r="DY248" s="105"/>
      <c r="DZ248" s="105"/>
      <c r="EA248" s="112"/>
      <c r="EB248" s="113"/>
      <c r="EC248" s="105"/>
      <c r="ED248" s="113"/>
      <c r="EE248" s="113"/>
      <c r="EF248" s="105"/>
      <c r="EG248" s="113"/>
      <c r="EH248" s="113"/>
      <c r="EI248" s="112"/>
      <c r="EJ248" s="113"/>
      <c r="EK248" s="105"/>
      <c r="EL248" s="146"/>
      <c r="EM248" s="72"/>
      <c r="EN248" s="74"/>
      <c r="EO248" s="73"/>
      <c r="EP248" s="72"/>
      <c r="EQ248" s="72"/>
      <c r="ER248" s="75"/>
      <c r="ES248" s="76"/>
      <c r="ET248" s="77"/>
      <c r="EU248" s="77"/>
      <c r="EV248" s="78"/>
      <c r="EW248" s="72" t="s">
        <v>113</v>
      </c>
      <c r="EX248" s="72" t="s">
        <v>113</v>
      </c>
      <c r="EY248" s="72" t="s">
        <v>97</v>
      </c>
      <c r="EZ248" s="72" t="s">
        <v>114</v>
      </c>
      <c r="FA248" s="72"/>
      <c r="FB248" s="78"/>
      <c r="FC248" s="78"/>
      <c r="FD248" s="146"/>
      <c r="FE248" s="78"/>
      <c r="FF248" s="78"/>
      <c r="FG248" s="78"/>
      <c r="FO248" s="146"/>
      <c r="FP248" s="78"/>
      <c r="FQ248" s="78"/>
      <c r="FR248" s="78"/>
    </row>
    <row r="249" spans="2:174" s="71" customFormat="1" ht="16.350000000000001" customHeight="1" x14ac:dyDescent="0.25">
      <c r="B249" s="70"/>
      <c r="C249" s="70"/>
      <c r="D249" s="110">
        <v>1</v>
      </c>
      <c r="E249" s="146"/>
      <c r="F249" s="71" t="str">
        <f>mehrsprachigkeitBegriffsrückgabe(gewählteSpracheZurückgeben(), "Variant")</f>
        <v>Variante</v>
      </c>
      <c r="G249" s="72" t="s">
        <v>345</v>
      </c>
      <c r="H249" s="72"/>
      <c r="I249" s="72" t="s">
        <v>86</v>
      </c>
      <c r="J249" s="72" t="s">
        <v>505</v>
      </c>
      <c r="K249" s="72"/>
      <c r="L249" s="146"/>
      <c r="M249" s="150" t="s">
        <v>481</v>
      </c>
      <c r="N249" s="72" t="s">
        <v>483</v>
      </c>
      <c r="O249" s="114" t="s">
        <v>486</v>
      </c>
      <c r="P249" s="114" t="s">
        <v>500</v>
      </c>
      <c r="Q249" s="72"/>
      <c r="R249" s="72"/>
      <c r="S249" s="72"/>
      <c r="T249" s="72"/>
      <c r="U249" s="72"/>
      <c r="V249" s="72"/>
      <c r="W249" s="72"/>
      <c r="X249" s="72"/>
      <c r="Y249" s="72"/>
      <c r="Z249" s="72"/>
      <c r="AA249" s="72"/>
      <c r="AB249" s="72"/>
      <c r="AC249" s="72"/>
      <c r="AD249" s="72"/>
      <c r="AE249" s="72"/>
      <c r="AF249" s="72"/>
      <c r="AG249" s="72"/>
      <c r="AH249" s="72"/>
      <c r="AI249" s="72"/>
      <c r="AJ249" s="72"/>
      <c r="AK249" s="72"/>
      <c r="AL249" s="72"/>
      <c r="AM249" s="72"/>
      <c r="AN249" s="72"/>
      <c r="AO249" s="72"/>
      <c r="AP249" s="72"/>
      <c r="AQ249" s="72"/>
      <c r="AR249" s="72"/>
      <c r="AS249" s="72"/>
      <c r="AT249" s="72"/>
      <c r="AU249" s="72"/>
      <c r="AV249" s="72"/>
      <c r="AW249" s="72"/>
      <c r="AX249" s="72"/>
      <c r="AY249" s="72"/>
      <c r="AZ249" s="72"/>
      <c r="BA249" s="146"/>
      <c r="BB249" s="104"/>
      <c r="BC249" s="72"/>
      <c r="BD249" s="72"/>
      <c r="BE249" s="72"/>
      <c r="BF249" s="146"/>
      <c r="BG249" s="112">
        <v>79</v>
      </c>
      <c r="BH249" s="113" t="str">
        <f>mehrsprachigkeitBegriffsrückgabe(gewählteSpracheZurückgeben(), "Independent price")</f>
        <v>Eigenständiger Preis</v>
      </c>
      <c r="BI249" s="146"/>
      <c r="BJ249" s="105"/>
      <c r="BK249" s="113"/>
      <c r="BL249" s="113"/>
      <c r="BM249" s="105"/>
      <c r="BN249" s="113"/>
      <c r="BO249" s="113"/>
      <c r="BP249" s="146"/>
      <c r="BQ249" s="112"/>
      <c r="BR249" s="113"/>
      <c r="BS249" s="105"/>
      <c r="BT249" s="146"/>
      <c r="BU249" s="105"/>
      <c r="BV249" s="105"/>
      <c r="BW249" s="112"/>
      <c r="BX249" s="113"/>
      <c r="BY249" s="105"/>
      <c r="BZ249" s="113"/>
      <c r="CA249" s="113"/>
      <c r="CB249" s="105"/>
      <c r="CC249" s="113"/>
      <c r="CD249" s="113"/>
      <c r="CE249" s="112"/>
      <c r="CF249" s="113"/>
      <c r="CG249" s="105"/>
      <c r="CH249" s="146"/>
      <c r="CI249" s="105"/>
      <c r="CJ249" s="105"/>
      <c r="CK249" s="112"/>
      <c r="CL249" s="113"/>
      <c r="CM249" s="105"/>
      <c r="CN249" s="113"/>
      <c r="CO249" s="113"/>
      <c r="CP249" s="105"/>
      <c r="CQ249" s="113"/>
      <c r="CR249" s="113"/>
      <c r="CS249" s="112"/>
      <c r="CT249" s="113"/>
      <c r="CU249" s="105"/>
      <c r="CV249" s="146"/>
      <c r="CW249" s="105"/>
      <c r="CX249" s="105"/>
      <c r="CY249" s="112"/>
      <c r="CZ249" s="113"/>
      <c r="DA249" s="105"/>
      <c r="DB249" s="113"/>
      <c r="DC249" s="113"/>
      <c r="DD249" s="105"/>
      <c r="DE249" s="113"/>
      <c r="DF249" s="113"/>
      <c r="DG249" s="112"/>
      <c r="DH249" s="113"/>
      <c r="DI249" s="105"/>
      <c r="DJ249" s="146"/>
      <c r="DK249" s="105"/>
      <c r="DL249" s="105"/>
      <c r="DM249" s="112"/>
      <c r="DN249" s="113"/>
      <c r="DO249" s="105"/>
      <c r="DP249" s="113"/>
      <c r="DQ249" s="113"/>
      <c r="DR249" s="105"/>
      <c r="DS249" s="113"/>
      <c r="DT249" s="113"/>
      <c r="DU249" s="112"/>
      <c r="DV249" s="113"/>
      <c r="DW249" s="105"/>
      <c r="DX249" s="146"/>
      <c r="DY249" s="105"/>
      <c r="DZ249" s="105"/>
      <c r="EA249" s="112"/>
      <c r="EB249" s="113"/>
      <c r="EC249" s="105"/>
      <c r="ED249" s="113"/>
      <c r="EE249" s="113"/>
      <c r="EF249" s="105"/>
      <c r="EG249" s="113"/>
      <c r="EH249" s="113"/>
      <c r="EI249" s="112"/>
      <c r="EJ249" s="113"/>
      <c r="EK249" s="105"/>
      <c r="EL249" s="146"/>
      <c r="EM249" s="72"/>
      <c r="EN249" s="74"/>
      <c r="EO249" s="73"/>
      <c r="EP249" s="72"/>
      <c r="EQ249" s="72"/>
      <c r="ER249" s="75"/>
      <c r="ES249" s="76"/>
      <c r="ET249" s="77"/>
      <c r="EU249" s="77"/>
      <c r="EV249" s="78"/>
      <c r="EW249" s="72" t="s">
        <v>113</v>
      </c>
      <c r="EX249" s="72" t="s">
        <v>113</v>
      </c>
      <c r="EY249" s="72" t="s">
        <v>97</v>
      </c>
      <c r="EZ249" s="72" t="s">
        <v>114</v>
      </c>
      <c r="FA249" s="72"/>
      <c r="FB249" s="78"/>
      <c r="FC249" s="78"/>
      <c r="FD249" s="146"/>
      <c r="FE249" s="78"/>
      <c r="FF249" s="78"/>
      <c r="FG249" s="78"/>
      <c r="FO249" s="146"/>
      <c r="FP249" s="78"/>
      <c r="FQ249" s="78"/>
      <c r="FR249" s="78"/>
    </row>
    <row r="250" spans="2:174" s="71" customFormat="1" ht="16.350000000000001" customHeight="1" x14ac:dyDescent="0.25">
      <c r="B250" s="70"/>
      <c r="C250" s="70"/>
      <c r="D250" s="110">
        <v>1</v>
      </c>
      <c r="E250" s="146"/>
      <c r="F250" s="71" t="str">
        <f>mehrsprachigkeitBegriffsrückgabe(gewählteSpracheZurückgeben(), "Variant")</f>
        <v>Variante</v>
      </c>
      <c r="G250" s="72" t="s">
        <v>345</v>
      </c>
      <c r="H250" s="72"/>
      <c r="I250" s="72" t="s">
        <v>86</v>
      </c>
      <c r="J250" s="72" t="s">
        <v>505</v>
      </c>
      <c r="K250" s="72"/>
      <c r="L250" s="146"/>
      <c r="M250" s="150" t="s">
        <v>481</v>
      </c>
      <c r="N250" s="72" t="s">
        <v>483</v>
      </c>
      <c r="O250" s="114" t="s">
        <v>486</v>
      </c>
      <c r="P250" s="114" t="s">
        <v>502</v>
      </c>
      <c r="Q250" s="72"/>
      <c r="R250" s="72"/>
      <c r="S250" s="72"/>
      <c r="T250" s="72"/>
      <c r="U250" s="72"/>
      <c r="V250" s="72"/>
      <c r="W250" s="72"/>
      <c r="X250" s="72"/>
      <c r="Y250" s="72"/>
      <c r="Z250" s="72"/>
      <c r="AA250" s="72"/>
      <c r="AB250" s="72"/>
      <c r="AC250" s="72"/>
      <c r="AD250" s="72"/>
      <c r="AE250" s="72"/>
      <c r="AF250" s="72"/>
      <c r="AG250" s="72"/>
      <c r="AH250" s="72"/>
      <c r="AI250" s="72"/>
      <c r="AJ250" s="72"/>
      <c r="AK250" s="72"/>
      <c r="AL250" s="72"/>
      <c r="AM250" s="72"/>
      <c r="AN250" s="72"/>
      <c r="AO250" s="72"/>
      <c r="AP250" s="72"/>
      <c r="AQ250" s="72"/>
      <c r="AR250" s="72"/>
      <c r="AS250" s="72"/>
      <c r="AT250" s="72"/>
      <c r="AU250" s="72"/>
      <c r="AV250" s="72"/>
      <c r="AW250" s="72"/>
      <c r="AX250" s="72"/>
      <c r="AY250" s="72"/>
      <c r="AZ250" s="72"/>
      <c r="BA250" s="146"/>
      <c r="BB250" s="104"/>
      <c r="BC250" s="72"/>
      <c r="BD250" s="72"/>
      <c r="BE250" s="72"/>
      <c r="BF250" s="146"/>
      <c r="BG250" s="112">
        <v>79</v>
      </c>
      <c r="BH250" s="113" t="str">
        <f>mehrsprachigkeitBegriffsrückgabe(gewählteSpracheZurückgeben(), "Independent price")</f>
        <v>Eigenständiger Preis</v>
      </c>
      <c r="BI250" s="146"/>
      <c r="BJ250" s="105"/>
      <c r="BK250" s="113"/>
      <c r="BL250" s="113"/>
      <c r="BM250" s="105"/>
      <c r="BN250" s="113"/>
      <c r="BO250" s="113"/>
      <c r="BP250" s="146"/>
      <c r="BQ250" s="112"/>
      <c r="BR250" s="113"/>
      <c r="BS250" s="105"/>
      <c r="BT250" s="146"/>
      <c r="BU250" s="105"/>
      <c r="BV250" s="105"/>
      <c r="BW250" s="112"/>
      <c r="BX250" s="113"/>
      <c r="BY250" s="105"/>
      <c r="BZ250" s="113"/>
      <c r="CA250" s="113"/>
      <c r="CB250" s="105"/>
      <c r="CC250" s="113"/>
      <c r="CD250" s="113"/>
      <c r="CE250" s="112"/>
      <c r="CF250" s="113"/>
      <c r="CG250" s="105"/>
      <c r="CH250" s="146"/>
      <c r="CI250" s="105"/>
      <c r="CJ250" s="105"/>
      <c r="CK250" s="112"/>
      <c r="CL250" s="113"/>
      <c r="CM250" s="105"/>
      <c r="CN250" s="113"/>
      <c r="CO250" s="113"/>
      <c r="CP250" s="105"/>
      <c r="CQ250" s="113"/>
      <c r="CR250" s="113"/>
      <c r="CS250" s="112"/>
      <c r="CT250" s="113"/>
      <c r="CU250" s="105"/>
      <c r="CV250" s="146"/>
      <c r="CW250" s="105"/>
      <c r="CX250" s="105"/>
      <c r="CY250" s="112"/>
      <c r="CZ250" s="113"/>
      <c r="DA250" s="105"/>
      <c r="DB250" s="113"/>
      <c r="DC250" s="113"/>
      <c r="DD250" s="105"/>
      <c r="DE250" s="113"/>
      <c r="DF250" s="113"/>
      <c r="DG250" s="112"/>
      <c r="DH250" s="113"/>
      <c r="DI250" s="105"/>
      <c r="DJ250" s="146"/>
      <c r="DK250" s="105"/>
      <c r="DL250" s="105"/>
      <c r="DM250" s="112"/>
      <c r="DN250" s="113"/>
      <c r="DO250" s="105"/>
      <c r="DP250" s="113"/>
      <c r="DQ250" s="113"/>
      <c r="DR250" s="105"/>
      <c r="DS250" s="113"/>
      <c r="DT250" s="113"/>
      <c r="DU250" s="112"/>
      <c r="DV250" s="113"/>
      <c r="DW250" s="105"/>
      <c r="DX250" s="146"/>
      <c r="DY250" s="105"/>
      <c r="DZ250" s="105"/>
      <c r="EA250" s="112"/>
      <c r="EB250" s="113"/>
      <c r="EC250" s="105"/>
      <c r="ED250" s="113"/>
      <c r="EE250" s="113"/>
      <c r="EF250" s="105"/>
      <c r="EG250" s="113"/>
      <c r="EH250" s="113"/>
      <c r="EI250" s="112"/>
      <c r="EJ250" s="113"/>
      <c r="EK250" s="105"/>
      <c r="EL250" s="146"/>
      <c r="EM250" s="72"/>
      <c r="EN250" s="74"/>
      <c r="EO250" s="73"/>
      <c r="EP250" s="72"/>
      <c r="EQ250" s="72"/>
      <c r="ER250" s="75"/>
      <c r="ES250" s="76"/>
      <c r="ET250" s="77"/>
      <c r="EU250" s="77"/>
      <c r="EV250" s="78"/>
      <c r="EW250" s="72" t="s">
        <v>113</v>
      </c>
      <c r="EX250" s="72" t="s">
        <v>113</v>
      </c>
      <c r="EY250" s="72" t="s">
        <v>97</v>
      </c>
      <c r="EZ250" s="72" t="s">
        <v>114</v>
      </c>
      <c r="FA250" s="72"/>
      <c r="FB250" s="78"/>
      <c r="FC250" s="78"/>
      <c r="FD250" s="146"/>
      <c r="FE250" s="78"/>
      <c r="FF250" s="78"/>
      <c r="FG250" s="78"/>
      <c r="FO250" s="146"/>
      <c r="FP250" s="78"/>
      <c r="FQ250" s="78"/>
      <c r="FR250" s="78"/>
    </row>
    <row r="251" spans="2:174" s="71" customFormat="1" ht="16.350000000000001" customHeight="1" x14ac:dyDescent="0.25">
      <c r="B251" s="70"/>
      <c r="C251" s="70"/>
      <c r="D251" s="110">
        <v>1</v>
      </c>
      <c r="E251" s="146"/>
      <c r="F251" s="71" t="str">
        <f>mehrsprachigkeitBegriffsrückgabe(gewählteSpracheZurückgeben(), "Variant")</f>
        <v>Variante</v>
      </c>
      <c r="G251" s="72" t="s">
        <v>345</v>
      </c>
      <c r="H251" s="72"/>
      <c r="I251" s="72" t="s">
        <v>86</v>
      </c>
      <c r="J251" s="72" t="s">
        <v>505</v>
      </c>
      <c r="K251" s="72"/>
      <c r="L251" s="146"/>
      <c r="M251" s="150" t="s">
        <v>481</v>
      </c>
      <c r="N251" s="72" t="s">
        <v>483</v>
      </c>
      <c r="O251" s="114" t="s">
        <v>486</v>
      </c>
      <c r="P251" s="114" t="s">
        <v>504</v>
      </c>
      <c r="Q251" s="72"/>
      <c r="R251" s="72"/>
      <c r="S251" s="72"/>
      <c r="T251" s="72"/>
      <c r="U251" s="72"/>
      <c r="V251" s="72"/>
      <c r="W251" s="72"/>
      <c r="X251" s="72"/>
      <c r="Y251" s="72"/>
      <c r="Z251" s="72"/>
      <c r="AA251" s="72"/>
      <c r="AB251" s="72"/>
      <c r="AC251" s="72"/>
      <c r="AD251" s="72"/>
      <c r="AE251" s="72"/>
      <c r="AF251" s="72"/>
      <c r="AG251" s="72"/>
      <c r="AH251" s="72"/>
      <c r="AI251" s="72"/>
      <c r="AJ251" s="72"/>
      <c r="AK251" s="72"/>
      <c r="AL251" s="72"/>
      <c r="AM251" s="72"/>
      <c r="AN251" s="72"/>
      <c r="AO251" s="72"/>
      <c r="AP251" s="72"/>
      <c r="AQ251" s="72"/>
      <c r="AR251" s="72"/>
      <c r="AS251" s="72"/>
      <c r="AT251" s="72"/>
      <c r="AU251" s="72"/>
      <c r="AV251" s="72"/>
      <c r="AW251" s="72"/>
      <c r="AX251" s="72"/>
      <c r="AY251" s="72"/>
      <c r="AZ251" s="72"/>
      <c r="BA251" s="146"/>
      <c r="BB251" s="104"/>
      <c r="BC251" s="72"/>
      <c r="BD251" s="72"/>
      <c r="BE251" s="72"/>
      <c r="BF251" s="146"/>
      <c r="BG251" s="112">
        <v>79</v>
      </c>
      <c r="BH251" s="113" t="str">
        <f>mehrsprachigkeitBegriffsrückgabe(gewählteSpracheZurückgeben(), "Independent price")</f>
        <v>Eigenständiger Preis</v>
      </c>
      <c r="BI251" s="146"/>
      <c r="BJ251" s="105"/>
      <c r="BK251" s="113"/>
      <c r="BL251" s="113"/>
      <c r="BM251" s="105"/>
      <c r="BN251" s="113"/>
      <c r="BO251" s="113"/>
      <c r="BP251" s="146"/>
      <c r="BQ251" s="112"/>
      <c r="BR251" s="113"/>
      <c r="BS251" s="105"/>
      <c r="BT251" s="146"/>
      <c r="BU251" s="105"/>
      <c r="BV251" s="105"/>
      <c r="BW251" s="112"/>
      <c r="BX251" s="113"/>
      <c r="BY251" s="105"/>
      <c r="BZ251" s="113"/>
      <c r="CA251" s="113"/>
      <c r="CB251" s="105"/>
      <c r="CC251" s="113"/>
      <c r="CD251" s="113"/>
      <c r="CE251" s="112"/>
      <c r="CF251" s="113"/>
      <c r="CG251" s="105"/>
      <c r="CH251" s="146"/>
      <c r="CI251" s="105"/>
      <c r="CJ251" s="105"/>
      <c r="CK251" s="112"/>
      <c r="CL251" s="113"/>
      <c r="CM251" s="105"/>
      <c r="CN251" s="113"/>
      <c r="CO251" s="113"/>
      <c r="CP251" s="105"/>
      <c r="CQ251" s="113"/>
      <c r="CR251" s="113"/>
      <c r="CS251" s="112"/>
      <c r="CT251" s="113"/>
      <c r="CU251" s="105"/>
      <c r="CV251" s="146"/>
      <c r="CW251" s="105"/>
      <c r="CX251" s="105"/>
      <c r="CY251" s="112"/>
      <c r="CZ251" s="113"/>
      <c r="DA251" s="105"/>
      <c r="DB251" s="113"/>
      <c r="DC251" s="113"/>
      <c r="DD251" s="105"/>
      <c r="DE251" s="113"/>
      <c r="DF251" s="113"/>
      <c r="DG251" s="112"/>
      <c r="DH251" s="113"/>
      <c r="DI251" s="105"/>
      <c r="DJ251" s="146"/>
      <c r="DK251" s="105"/>
      <c r="DL251" s="105"/>
      <c r="DM251" s="112"/>
      <c r="DN251" s="113"/>
      <c r="DO251" s="105"/>
      <c r="DP251" s="113"/>
      <c r="DQ251" s="113"/>
      <c r="DR251" s="105"/>
      <c r="DS251" s="113"/>
      <c r="DT251" s="113"/>
      <c r="DU251" s="112"/>
      <c r="DV251" s="113"/>
      <c r="DW251" s="105"/>
      <c r="DX251" s="146"/>
      <c r="DY251" s="105"/>
      <c r="DZ251" s="105"/>
      <c r="EA251" s="112"/>
      <c r="EB251" s="113"/>
      <c r="EC251" s="105"/>
      <c r="ED251" s="113"/>
      <c r="EE251" s="113"/>
      <c r="EF251" s="105"/>
      <c r="EG251" s="113"/>
      <c r="EH251" s="113"/>
      <c r="EI251" s="112"/>
      <c r="EJ251" s="113"/>
      <c r="EK251" s="105"/>
      <c r="EL251" s="146"/>
      <c r="EM251" s="72"/>
      <c r="EN251" s="74"/>
      <c r="EO251" s="73"/>
      <c r="EP251" s="72"/>
      <c r="EQ251" s="72"/>
      <c r="ER251" s="75"/>
      <c r="ES251" s="76"/>
      <c r="ET251" s="77"/>
      <c r="EU251" s="77"/>
      <c r="EV251" s="78"/>
      <c r="EW251" s="72" t="s">
        <v>113</v>
      </c>
      <c r="EX251" s="72" t="s">
        <v>113</v>
      </c>
      <c r="EY251" s="72" t="s">
        <v>97</v>
      </c>
      <c r="EZ251" s="72" t="s">
        <v>114</v>
      </c>
      <c r="FA251" s="72"/>
      <c r="FB251" s="78"/>
      <c r="FC251" s="78"/>
      <c r="FD251" s="146"/>
      <c r="FE251" s="78"/>
      <c r="FF251" s="78"/>
      <c r="FG251" s="78"/>
      <c r="FO251" s="146"/>
      <c r="FP251" s="78"/>
      <c r="FQ251" s="78"/>
      <c r="FR251" s="78"/>
    </row>
  </sheetData>
  <sheetProtection algorithmName="SHA-512" hashValue="RlSbsEC7mg1FSjgxWn+nS21aY0c9wmWEA5zwqNl2U+6xGH/v8hG0XfBpDhce+8oAGH35ySu+92lH+u7hVKv0mQ==" saltValue="O6d01B3z8Eovg9bytk3wIg==" spinCount="100000" sheet="1" formatCells="0" formatColumns="0" formatRows="0" insertRows="0" insertHyperlinks="0" deleteRows="0" selectLockedCells="1" autoFilter="0"/>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Dropdown_Seitenwaehler04">
              <controlPr defaultSize="0" autoLine="0" autoPict="0" macro="[0]!seitenwähler">
                <anchor moveWithCells="1">
                  <from>
                    <xdr:col>1</xdr:col>
                    <xdr:colOff>0</xdr:colOff>
                    <xdr:row>3</xdr:row>
                    <xdr:rowOff>0</xdr:rowOff>
                  </from>
                  <to>
                    <xdr:col>2</xdr:col>
                    <xdr:colOff>561975</xdr:colOff>
                    <xdr:row>4</xdr:row>
                    <xdr:rowOff>0</xdr:rowOff>
                  </to>
                </anchor>
              </controlPr>
            </control>
          </mc:Choice>
        </mc:AlternateContent>
        <mc:AlternateContent xmlns:mc="http://schemas.openxmlformats.org/markup-compatibility/2006">
          <mc:Choice Requires="x14">
            <control shapeId="4098" r:id="rId4" name="Drop Down 2">
              <controlPr defaultSize="0" autoLine="0" autoPict="0" macro="[0]!toDosNachSprachwechsel">
                <anchor moveWithCells="1">
                  <from>
                    <xdr:col>1</xdr:col>
                    <xdr:colOff>0</xdr:colOff>
                    <xdr:row>1</xdr:row>
                    <xdr:rowOff>485775</xdr:rowOff>
                  </from>
                  <to>
                    <xdr:col>2</xdr:col>
                    <xdr:colOff>561975</xdr:colOff>
                    <xdr:row>2</xdr:row>
                    <xdr:rowOff>190500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4</vt:i4>
      </vt:variant>
      <vt:variant>
        <vt:lpstr>Benannte Bereiche</vt:lpstr>
      </vt:variant>
      <vt:variant>
        <vt:i4>47</vt:i4>
      </vt:variant>
    </vt:vector>
  </HeadingPairs>
  <TitlesOfParts>
    <vt:vector size="51" baseType="lpstr">
      <vt:lpstr>Produktverwaltung</vt:lpstr>
      <vt:lpstr>Konfiguration</vt:lpstr>
      <vt:lpstr>Basisparameter</vt:lpstr>
      <vt:lpstr>Löschprotokoll</vt:lpstr>
      <vt:lpstr>aktionswaehler</vt:lpstr>
      <vt:lpstr>basisparameterAktionen01</vt:lpstr>
      <vt:lpstr>basisparameterAlterPreisPreisart</vt:lpstr>
      <vt:lpstr>basisparameterAlterPreisVerwenden</vt:lpstr>
      <vt:lpstr>basisparameterGewichtsangabe</vt:lpstr>
      <vt:lpstr>basisparameterImportsperre</vt:lpstr>
      <vt:lpstr>basisparameterLöschen</vt:lpstr>
      <vt:lpstr>basisparameterNeuheit</vt:lpstr>
      <vt:lpstr>basisparameterPreisart</vt:lpstr>
      <vt:lpstr>basisparameterSonderpreis</vt:lpstr>
      <vt:lpstr>basisparameterSprachen</vt:lpstr>
      <vt:lpstr>basisparameterStaffelpreisAnwenden</vt:lpstr>
      <vt:lpstr>basisparameterStaffelpreisArt</vt:lpstr>
      <vt:lpstr>basisparameterStaffelpreisMengenermittlungKonfigurationenTrennen</vt:lpstr>
      <vt:lpstr>basisparameterStaffelpreisMengenermittlungMethode</vt:lpstr>
      <vt:lpstr>basisparameterTabellenblattnamen</vt:lpstr>
      <vt:lpstr>basisparameterTyp</vt:lpstr>
      <vt:lpstr>basisparameterVeröffentlichen</vt:lpstr>
      <vt:lpstr>epmVersion</vt:lpstr>
      <vt:lpstr>flexContentAusblenden</vt:lpstr>
      <vt:lpstr>formelLokalTemporaerUmwandeln</vt:lpstr>
      <vt:lpstr>FormelLokalTemporärUmwandeln</vt:lpstr>
      <vt:lpstr>formelÜbergeordneteArtikelnummer</vt:lpstr>
      <vt:lpstr>formelUebergeordneteArtikelnummer</vt:lpstr>
      <vt:lpstr>formularParentProductCode</vt:lpstr>
      <vt:lpstr>gewaehlteSprache</vt:lpstr>
      <vt:lpstr>gruppenpreiseAusblenden</vt:lpstr>
      <vt:lpstr>kategorienAuswaehlen</vt:lpstr>
      <vt:lpstr>konfigurationAusprägung</vt:lpstr>
      <vt:lpstr>konfigurationKategorie</vt:lpstr>
      <vt:lpstr>konfigurationKonfigurator</vt:lpstr>
      <vt:lpstr>konfigurationLagerUndLieferzeit</vt:lpstr>
      <vt:lpstr>konfigurationMengeneinheit</vt:lpstr>
      <vt:lpstr>konfigurationMengenvergleichspreis</vt:lpstr>
      <vt:lpstr>konfigurationMerkmal</vt:lpstr>
      <vt:lpstr>konfigurationMitgliedergruppen</vt:lpstr>
      <vt:lpstr>konfigurationSprache</vt:lpstr>
      <vt:lpstr>konfigurationSteuersatz</vt:lpstr>
      <vt:lpstr>konfigurationTemplate</vt:lpstr>
      <vt:lpstr>kopfbereichAusblenden</vt:lpstr>
      <vt:lpstr>letzteAktiveZelle</vt:lpstr>
      <vt:lpstr>merkmaleAuspraegungenAusblenden</vt:lpstr>
      <vt:lpstr>modusUebergeordneteArtikelnummerEmitteln</vt:lpstr>
      <vt:lpstr>seitenwaehler</vt:lpstr>
      <vt:lpstr>staffelpreiseAusblenden</vt:lpstr>
      <vt:lpstr>variantenAlleAusblenden</vt:lpstr>
      <vt:lpstr>zentralwertMakrohinweis</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ip</dc:creator>
  <cp:lastModifiedBy>stu</cp:lastModifiedBy>
  <dcterms:created xsi:type="dcterms:W3CDTF">2012-09-17T21:09:57Z</dcterms:created>
  <dcterms:modified xsi:type="dcterms:W3CDTF">2026-07-08T01:09:56Z</dcterms:modified>
</cp:coreProperties>
</file>